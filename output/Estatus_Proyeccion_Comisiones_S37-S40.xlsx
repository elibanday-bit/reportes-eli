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pool" sheetId="1" state="visible" r:id="rId3"/>
    <sheet name="Detalle asesor" sheetId="2" state="visible" r:id="rId4"/>
    <sheet name="Parametros" sheetId="3" state="visible" r:id="rId5"/>
    <sheet name="base" sheetId="4" state="visible" r:id="rId6"/>
    <sheet name="tablas" sheetId="5" state="visible" r:id="rId7"/>
  </sheets>
  <definedNames>
    <definedName function="false" hidden="true" localSheetId="1" name="_xlnm._FilterDatabase" vbProcedure="false">'Detalle asesor'!$A$1:$AA$264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(MOD B S37 + S38) / (Vac S37 + Vac S38). Vac = factor de disponibilidad de la semana (1 = semana completa).</t>
        </r>
      </text>
    </comment>
    <comment ref="S1" authorId="0">
      <text>
        <r>
          <rPr>
            <sz val="10"/>
            <rFont val="Arial"/>
            <family val="2"/>
          </rPr>
          <t xml:space="preserve">Peso PM × %PM + Peso CM × %CM proyectado (ver Parametros).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I1" authorId="0">
      <text>
        <r>
          <rPr>
            <sz val="10"/>
            <rFont val="Arial"/>
            <family val="2"/>
          </rPr>
          <t xml:space="preserve">Elizabeth R. Banda Yanqui:
produccion hasta 23-09</t>
        </r>
      </text>
    </comment>
  </commentList>
</comments>
</file>

<file path=xl/sharedStrings.xml><?xml version="1.0" encoding="utf-8"?>
<sst xmlns="http://schemas.openxmlformats.org/spreadsheetml/2006/main" count="2235" uniqueCount="440">
  <si>
    <t xml:space="preserve">Estatus y proyección por pool — Periodo S37–S40</t>
  </si>
  <si>
    <t xml:space="preserve">Fuente: hoja base (ventas UG/WA/CAD/RN a S40; MOD B cargado a S39 parcial). Supuestos en hoja Parametros.</t>
  </si>
  <si>
    <t xml:space="preserve">Pool</t>
  </si>
  <si>
    <t xml:space="preserve">Dotación</t>
  </si>
  <si>
    <t xml:space="preserve">HC efectivo</t>
  </si>
  <si>
    <t xml:space="preserve">Venta PM</t>
  </si>
  <si>
    <t xml:space="preserve">Meta PM</t>
  </si>
  <si>
    <t xml:space="preserve">% PM</t>
  </si>
  <si>
    <t xml:space="preserve">CM real</t>
  </si>
  <si>
    <t xml:space="preserve">CM proyectado</t>
  </si>
  <si>
    <t xml:space="preserve">Meta CM</t>
  </si>
  <si>
    <t xml:space="preserve">% CM proy</t>
  </si>
  <si>
    <t xml:space="preserve">Cumpl. actual</t>
  </si>
  <si>
    <t xml:space="preserve">Cumpl. proyectado</t>
  </si>
  <si>
    <t xml:space="preserve">Desfase PM (und)</t>
  </si>
  <si>
    <t xml:space="preserve">Desfase CM (und)</t>
  </si>
  <si>
    <t xml:space="preserve">Activan</t>
  </si>
  <si>
    <t xml:space="preserve">Cerca (70-80%)</t>
  </si>
  <si>
    <t xml:space="preserve">No activan</t>
  </si>
  <si>
    <t xml:space="preserve">% activación</t>
  </si>
  <si>
    <t xml:space="preserve">Carta (S/)</t>
  </si>
  <si>
    <t xml:space="preserve">Gasto actual (S/)</t>
  </si>
  <si>
    <t xml:space="preserve">Gasto proyectado (S/)</t>
  </si>
  <si>
    <t xml:space="preserve">% gasto / carta</t>
  </si>
  <si>
    <t xml:space="preserve">Inbound Premium</t>
  </si>
  <si>
    <t xml:space="preserve">Inbound Regular</t>
  </si>
  <si>
    <t xml:space="preserve">Outbound Premium</t>
  </si>
  <si>
    <t xml:space="preserve">Outbound Regular</t>
  </si>
  <si>
    <t xml:space="preserve">Chattigo</t>
  </si>
  <si>
    <t xml:space="preserve">Counter</t>
  </si>
  <si>
    <t xml:space="preserve">Ate</t>
  </si>
  <si>
    <t xml:space="preserve">Lima Sur</t>
  </si>
  <si>
    <t xml:space="preserve">ReiNew</t>
  </si>
  <si>
    <t xml:space="preserve">TOTAL</t>
  </si>
  <si>
    <t xml:space="preserve">Check: la dotación total debe igualar las filas de la base (263).</t>
  </si>
  <si>
    <t xml:space="preserve">Código PS</t>
  </si>
  <si>
    <t xml:space="preserve">Pool equivalente</t>
  </si>
  <si>
    <t xml:space="preserve">Líder grupo</t>
  </si>
  <si>
    <t xml:space="preserve">Jefe inmediato</t>
  </si>
  <si>
    <t xml:space="preserve">HC</t>
  </si>
  <si>
    <t xml:space="preserve">CM real cargado</t>
  </si>
  <si>
    <t xml:space="preserve">Ritmo CM / sem activa</t>
  </si>
  <si>
    <t xml:space="preserve">CM S39 proy</t>
  </si>
  <si>
    <t xml:space="preserve">CM S40 proy</t>
  </si>
  <si>
    <t xml:space="preserve">% CM real</t>
  </si>
  <si>
    <t xml:space="preserve">Nivel proyectado</t>
  </si>
  <si>
    <t xml:space="preserve">Acelerador proy</t>
  </si>
  <si>
    <t xml:space="preserve">Nivel actual</t>
  </si>
  <si>
    <t xml:space="preserve">Estado</t>
  </si>
  <si>
    <t xml:space="preserve">Falta a 80% (pts)</t>
  </si>
  <si>
    <t xml:space="preserve">Parámetros del modelo de proyección</t>
  </si>
  <si>
    <t xml:space="preserve">Peso PM (UG+WA+CAD+RN)</t>
  </si>
  <si>
    <t xml:space="preserve">Dato del usuario (columna PESO PM de la base)</t>
  </si>
  <si>
    <t xml:space="preserve">Peso CM (MOD B)</t>
  </si>
  <si>
    <t xml:space="preserve">Dato del usuario (columna PESO CM de la base)</t>
  </si>
  <si>
    <t xml:space="preserve">Umbral "cerca de activar"</t>
  </si>
  <si>
    <t xml:space="preserve">Supuesto: asesores entre 70% y 80% se muestran como recuperables</t>
  </si>
  <si>
    <t xml:space="preserve">Supuestos de la proyección:</t>
  </si>
  <si>
    <t xml:space="preserve">1. El periodo medido es S37–S40 (las columnas de vacaciones y el HC de la base cubren esas 4 semanas).</t>
  </si>
  <si>
    <t xml:space="preserve">2. UG, WA, CAD y RN se consideran cerrados a S40 (con dato cargado en las 4 semanas).</t>
  </si>
  <si>
    <t xml:space="preserve">3. MOD B (CM) solo tiene carga completa en S37–S38; S39 es parcial y S40 no tiene dato.</t>
  </si>
  <si>
    <t xml:space="preserve">   Se proyecta con el ritmo de S37–S38 por semana activa × disponibilidad (Vac S39, Vac S40). Si el dato real es mayor, se usa el real.</t>
  </si>
  <si>
    <t xml:space="preserve">4. Cumplimiento = Peso PM × %PM + Peso CM × %CM. Nivel y acelerador según hoja "tablas" (menos de 80% = No activa).</t>
  </si>
  <si>
    <t xml:space="preserve">5. Gasto = CARTA (target prorrateado por % cuota) × acelerador.</t>
  </si>
  <si>
    <t xml:space="preserve">6. La columna TOTAL VENTA de la base no cuadra con el detalle semanal; se recalcula desde el detalle.</t>
  </si>
  <si>
    <t xml:space="preserve">7. Lima Sur no tiene TARGET ni % cuota cargado: su gasto sale en 0. ReiNew no tiene ventas MOD B: su %CM sale en 0.</t>
  </si>
  <si>
    <t xml:space="preserve">fecha ingreso</t>
  </si>
  <si>
    <t xml:space="preserve">Antigüedad</t>
  </si>
  <si>
    <t xml:space="preserve">POOL Equivalente</t>
  </si>
  <si>
    <t xml:space="preserve">POOL</t>
  </si>
  <si>
    <t xml:space="preserve">LIDER GRUPO</t>
  </si>
  <si>
    <t xml:space="preserve">Jefe Inmediato</t>
  </si>
  <si>
    <t xml:space="preserve">Sede</t>
  </si>
  <si>
    <t xml:space="preserve">Sede ST</t>
  </si>
  <si>
    <t xml:space="preserve">Dias Activos</t>
  </si>
  <si>
    <t xml:space="preserve">Vac S37</t>
  </si>
  <si>
    <t xml:space="preserve">Vac S38</t>
  </si>
  <si>
    <t xml:space="preserve">Vac S39</t>
  </si>
  <si>
    <t xml:space="preserve">Vac S40</t>
  </si>
  <si>
    <t xml:space="preserve">% cuota</t>
  </si>
  <si>
    <t xml:space="preserve">Meta PM 2027.1</t>
  </si>
  <si>
    <t xml:space="preserve">META MOD B CAD</t>
  </si>
  <si>
    <t xml:space="preserve">META PM TOTAL</t>
  </si>
  <si>
    <t xml:space="preserve">META CM</t>
  </si>
  <si>
    <t xml:space="preserve">UG S37</t>
  </si>
  <si>
    <t xml:space="preserve">UG S38</t>
  </si>
  <si>
    <t xml:space="preserve">UG S39</t>
  </si>
  <si>
    <t xml:space="preserve">UG S40</t>
  </si>
  <si>
    <t xml:space="preserve">WA S37</t>
  </si>
  <si>
    <t xml:space="preserve">WA S38</t>
  </si>
  <si>
    <t xml:space="preserve">WA S39</t>
  </si>
  <si>
    <t xml:space="preserve">WA S40</t>
  </si>
  <si>
    <t xml:space="preserve">CAD S37</t>
  </si>
  <si>
    <t xml:space="preserve">CAD S38</t>
  </si>
  <si>
    <t xml:space="preserve">CAD S39</t>
  </si>
  <si>
    <t xml:space="preserve">CAD S40</t>
  </si>
  <si>
    <t xml:space="preserve">MOD B S37</t>
  </si>
  <si>
    <t xml:space="preserve">MOD B S38</t>
  </si>
  <si>
    <t xml:space="preserve">MOD B S39</t>
  </si>
  <si>
    <t xml:space="preserve">MOD B S40</t>
  </si>
  <si>
    <t xml:space="preserve">RN</t>
  </si>
  <si>
    <t xml:space="preserve">TOTAL VENTA </t>
  </si>
  <si>
    <t xml:space="preserve">PESO PM</t>
  </si>
  <si>
    <t xml:space="preserve">PESO CM</t>
  </si>
  <si>
    <t xml:space="preserve">COMISION %</t>
  </si>
  <si>
    <t xml:space="preserve">TARGET</t>
  </si>
  <si>
    <t xml:space="preserve">CARTA</t>
  </si>
  <si>
    <t xml:space="preserve">46050977-2</t>
  </si>
  <si>
    <t xml:space="preserve">VET</t>
  </si>
  <si>
    <t xml:space="preserve">ARACELI TARAZONA SERNAQUE</t>
  </si>
  <si>
    <t xml:space="preserve">GISELA AVELLANEDA CAMACHO</t>
  </si>
  <si>
    <t xml:space="preserve">LIMA OLIVOS</t>
  </si>
  <si>
    <t xml:space="preserve">LIMA</t>
  </si>
  <si>
    <t xml:space="preserve">77078190-1</t>
  </si>
  <si>
    <t xml:space="preserve">47567126-6</t>
  </si>
  <si>
    <t xml:space="preserve">LIMA COMAS</t>
  </si>
  <si>
    <t xml:space="preserve">41710085-2</t>
  </si>
  <si>
    <t xml:space="preserve">M9</t>
  </si>
  <si>
    <t xml:space="preserve">42763046-9</t>
  </si>
  <si>
    <t xml:space="preserve">41907916-8</t>
  </si>
  <si>
    <t xml:space="preserve">46569779-8</t>
  </si>
  <si>
    <t xml:space="preserve">46349775-9</t>
  </si>
  <si>
    <t xml:space="preserve">25831501-0</t>
  </si>
  <si>
    <t xml:space="preserve">JENNY ALEJANDRA DE LA CRUZ FLORES</t>
  </si>
  <si>
    <t xml:space="preserve">LIMA ATE</t>
  </si>
  <si>
    <t xml:space="preserve">45172927-1</t>
  </si>
  <si>
    <t xml:space="preserve">M4</t>
  </si>
  <si>
    <t xml:space="preserve">LIMA BREÑA</t>
  </si>
  <si>
    <t xml:space="preserve">70862248-1</t>
  </si>
  <si>
    <t xml:space="preserve">46824537-5</t>
  </si>
  <si>
    <t xml:space="preserve">74948966-4</t>
  </si>
  <si>
    <t xml:space="preserve">72173283-1</t>
  </si>
  <si>
    <t xml:space="preserve">08687915-3</t>
  </si>
  <si>
    <t xml:space="preserve">71523088-2</t>
  </si>
  <si>
    <t xml:space="preserve">M7</t>
  </si>
  <si>
    <t xml:space="preserve">MIDUA MARGARITA ROMAN MENDEZ</t>
  </si>
  <si>
    <t xml:space="preserve">LIMA SJL</t>
  </si>
  <si>
    <t xml:space="preserve">74502638-4</t>
  </si>
  <si>
    <t xml:space="preserve">LIMA SUR</t>
  </si>
  <si>
    <t xml:space="preserve">77036128-7</t>
  </si>
  <si>
    <t xml:space="preserve">M5</t>
  </si>
  <si>
    <t xml:space="preserve">72430817-7</t>
  </si>
  <si>
    <t xml:space="preserve">45249464-2</t>
  </si>
  <si>
    <t xml:space="preserve">46514772-1</t>
  </si>
  <si>
    <t xml:space="preserve">LIMA CHORRILLOS</t>
  </si>
  <si>
    <t xml:space="preserve">10638696-5</t>
  </si>
  <si>
    <t xml:space="preserve">75845729-5</t>
  </si>
  <si>
    <t xml:space="preserve">75845459-8</t>
  </si>
  <si>
    <t xml:space="preserve">Inbound</t>
  </si>
  <si>
    <t xml:space="preserve">CARLOS GARCIA MORALES</t>
  </si>
  <si>
    <t xml:space="preserve">YEISON ROJAS INGOL</t>
  </si>
  <si>
    <t xml:space="preserve">77220806-1</t>
  </si>
  <si>
    <t xml:space="preserve">MAITE PEÑA VALLE</t>
  </si>
  <si>
    <t xml:space="preserve">71726182-3</t>
  </si>
  <si>
    <t xml:space="preserve">77137830-2</t>
  </si>
  <si>
    <t xml:space="preserve">73369531-1</t>
  </si>
  <si>
    <t xml:space="preserve">48654783-4</t>
  </si>
  <si>
    <t xml:space="preserve">47522603-3</t>
  </si>
  <si>
    <t xml:space="preserve">47308970-5</t>
  </si>
  <si>
    <t xml:space="preserve">77051043-6</t>
  </si>
  <si>
    <t xml:space="preserve">70876676-9</t>
  </si>
  <si>
    <t xml:space="preserve">CHRISTIAN ESPEJO BRICEÑO</t>
  </si>
  <si>
    <t xml:space="preserve">KARLA SUERO PALOMINO</t>
  </si>
  <si>
    <t xml:space="preserve">46360718-0</t>
  </si>
  <si>
    <t xml:space="preserve">72895784-6</t>
  </si>
  <si>
    <t xml:space="preserve">44147800-9</t>
  </si>
  <si>
    <t xml:space="preserve">45813684-5</t>
  </si>
  <si>
    <t xml:space="preserve">M12</t>
  </si>
  <si>
    <t xml:space="preserve">46591353-9</t>
  </si>
  <si>
    <t xml:space="preserve">76777694-8</t>
  </si>
  <si>
    <t xml:space="preserve">46642474-4</t>
  </si>
  <si>
    <t xml:space="preserve">M10</t>
  </si>
  <si>
    <t xml:space="preserve">73938101-6</t>
  </si>
  <si>
    <t xml:space="preserve">M8</t>
  </si>
  <si>
    <t xml:space="preserve">63034996-1</t>
  </si>
  <si>
    <t xml:space="preserve">74494259-0</t>
  </si>
  <si>
    <t xml:space="preserve">M1</t>
  </si>
  <si>
    <t xml:space="preserve">Especializado</t>
  </si>
  <si>
    <t xml:space="preserve">FRANCIS SANCHEZ CAMPOS</t>
  </si>
  <si>
    <t xml:space="preserve">SINDY ZAMBRANO SOTERO</t>
  </si>
  <si>
    <t xml:space="preserve">44582430-1</t>
  </si>
  <si>
    <t xml:space="preserve">72809743-0</t>
  </si>
  <si>
    <t xml:space="preserve">75282600-1</t>
  </si>
  <si>
    <t xml:space="preserve">GIANFRANCO ZAIRA BRIONES</t>
  </si>
  <si>
    <t xml:space="preserve">76315697-0</t>
  </si>
  <si>
    <t xml:space="preserve">70451055-7</t>
  </si>
  <si>
    <t xml:space="preserve">Outbound</t>
  </si>
  <si>
    <t xml:space="preserve">GRECIA LANDIVAR PEREZ</t>
  </si>
  <si>
    <t xml:space="preserve">ROMULO CHAVEZ ACOSTA</t>
  </si>
  <si>
    <t xml:space="preserve">74824216-9</t>
  </si>
  <si>
    <t xml:space="preserve">M2</t>
  </si>
  <si>
    <t xml:space="preserve">77670185-3</t>
  </si>
  <si>
    <t xml:space="preserve">77147276-7</t>
  </si>
  <si>
    <t xml:space="preserve">76036081-9</t>
  </si>
  <si>
    <t xml:space="preserve">GRETA VARGAS ESCOBEDO</t>
  </si>
  <si>
    <t xml:space="preserve">75656015-3</t>
  </si>
  <si>
    <t xml:space="preserve">76378720-1</t>
  </si>
  <si>
    <t xml:space="preserve">77679638-2</t>
  </si>
  <si>
    <t xml:space="preserve">73738513-8</t>
  </si>
  <si>
    <t xml:space="preserve">M3</t>
  </si>
  <si>
    <t xml:space="preserve">OMAR AGUILAR TELLO</t>
  </si>
  <si>
    <t xml:space="preserve">76579399-3</t>
  </si>
  <si>
    <t xml:space="preserve">71457679-3</t>
  </si>
  <si>
    <t xml:space="preserve">70701954-4</t>
  </si>
  <si>
    <t xml:space="preserve">72325179-1</t>
  </si>
  <si>
    <t xml:space="preserve">74690176-9</t>
  </si>
  <si>
    <t xml:space="preserve">WILIAM GOMEZ NICOLAS</t>
  </si>
  <si>
    <t xml:space="preserve">76482026-1</t>
  </si>
  <si>
    <t xml:space="preserve">YLBER BAYONA COSTILLA</t>
  </si>
  <si>
    <t xml:space="preserve">76352177-5</t>
  </si>
  <si>
    <t xml:space="preserve">74898894-2</t>
  </si>
  <si>
    <t xml:space="preserve">70644486-1</t>
  </si>
  <si>
    <t xml:space="preserve">72867250-7</t>
  </si>
  <si>
    <t xml:space="preserve">GERARDO OBREGON RUIZ</t>
  </si>
  <si>
    <t xml:space="preserve">JOSUE MORA SOLSOL</t>
  </si>
  <si>
    <t xml:space="preserve">60828027-3</t>
  </si>
  <si>
    <t xml:space="preserve">73604946-1</t>
  </si>
  <si>
    <t xml:space="preserve">46674049-2</t>
  </si>
  <si>
    <t xml:space="preserve">70886611-9</t>
  </si>
  <si>
    <t xml:space="preserve">M6</t>
  </si>
  <si>
    <t xml:space="preserve">47086537-2</t>
  </si>
  <si>
    <t xml:space="preserve">48171542-9</t>
  </si>
  <si>
    <t xml:space="preserve">47137289-2</t>
  </si>
  <si>
    <t xml:space="preserve">76379022-9</t>
  </si>
  <si>
    <t xml:space="preserve">48432407-2</t>
  </si>
  <si>
    <t xml:space="preserve">44037527-3</t>
  </si>
  <si>
    <t xml:space="preserve">46864727-9</t>
  </si>
  <si>
    <t xml:space="preserve">47363155-1</t>
  </si>
  <si>
    <t xml:space="preserve">75435664-8</t>
  </si>
  <si>
    <t xml:space="preserve">72353162-0</t>
  </si>
  <si>
    <t xml:space="preserve">77134549-8</t>
  </si>
  <si>
    <t xml:space="preserve">43130010-4</t>
  </si>
  <si>
    <t xml:space="preserve">76526867-8</t>
  </si>
  <si>
    <t xml:space="preserve">48426447-9</t>
  </si>
  <si>
    <t xml:space="preserve">71267989-7</t>
  </si>
  <si>
    <t xml:space="preserve">70559083-0</t>
  </si>
  <si>
    <t xml:space="preserve">76454950-9</t>
  </si>
  <si>
    <t xml:space="preserve">42171670-1</t>
  </si>
  <si>
    <t xml:space="preserve">76316344-5</t>
  </si>
  <si>
    <t xml:space="preserve">75011966-8</t>
  </si>
  <si>
    <t xml:space="preserve">JESSICA CASTILLO PALOMINO</t>
  </si>
  <si>
    <t xml:space="preserve">48206398-1</t>
  </si>
  <si>
    <t xml:space="preserve">45097567-8</t>
  </si>
  <si>
    <t xml:space="preserve">70183775-0</t>
  </si>
  <si>
    <t xml:space="preserve">SHEYLA SANTIAGO MARTEL</t>
  </si>
  <si>
    <t xml:space="preserve">70830003-4</t>
  </si>
  <si>
    <t xml:space="preserve">42937713-2</t>
  </si>
  <si>
    <t xml:space="preserve">76366555-6</t>
  </si>
  <si>
    <t xml:space="preserve">75684383-0</t>
  </si>
  <si>
    <t xml:space="preserve">71741287-2</t>
  </si>
  <si>
    <t xml:space="preserve">76761426-3</t>
  </si>
  <si>
    <t xml:space="preserve">46971051-9</t>
  </si>
  <si>
    <t xml:space="preserve">71283999-1</t>
  </si>
  <si>
    <t xml:space="preserve">72804983-4</t>
  </si>
  <si>
    <t xml:space="preserve">70076606-9</t>
  </si>
  <si>
    <t xml:space="preserve">41631912-5</t>
  </si>
  <si>
    <t xml:space="preserve">72194334-3</t>
  </si>
  <si>
    <t xml:space="preserve">47084491-0</t>
  </si>
  <si>
    <t xml:space="preserve">72120996-8</t>
  </si>
  <si>
    <t xml:space="preserve">76519658-8</t>
  </si>
  <si>
    <t xml:space="preserve">75521816-8</t>
  </si>
  <si>
    <t xml:space="preserve">75976175-3</t>
  </si>
  <si>
    <t xml:space="preserve">43937724-6</t>
  </si>
  <si>
    <t xml:space="preserve">72792749-8</t>
  </si>
  <si>
    <t xml:space="preserve">75508755-1</t>
  </si>
  <si>
    <t xml:space="preserve">73222140-4</t>
  </si>
  <si>
    <t xml:space="preserve">76014997-2</t>
  </si>
  <si>
    <t xml:space="preserve">76906465-1</t>
  </si>
  <si>
    <t xml:space="preserve">43618965-1</t>
  </si>
  <si>
    <t xml:space="preserve">71540442-2</t>
  </si>
  <si>
    <t xml:space="preserve">43953096-6</t>
  </si>
  <si>
    <t xml:space="preserve">47007242-9</t>
  </si>
  <si>
    <t xml:space="preserve">40871164-4</t>
  </si>
  <si>
    <t xml:space="preserve">45394093-0</t>
  </si>
  <si>
    <t xml:space="preserve">61833558-1</t>
  </si>
  <si>
    <t xml:space="preserve">76277712-1</t>
  </si>
  <si>
    <t xml:space="preserve">76400858-3</t>
  </si>
  <si>
    <t xml:space="preserve">78546173-3</t>
  </si>
  <si>
    <t xml:space="preserve">61394506-2</t>
  </si>
  <si>
    <t xml:space="preserve">75488447-4</t>
  </si>
  <si>
    <t xml:space="preserve">76213406-9</t>
  </si>
  <si>
    <t xml:space="preserve">71289815-7</t>
  </si>
  <si>
    <t xml:space="preserve">77903145-0</t>
  </si>
  <si>
    <t xml:space="preserve">72721362-2</t>
  </si>
  <si>
    <t xml:space="preserve">74825745-0</t>
  </si>
  <si>
    <t xml:space="preserve">45420917-1</t>
  </si>
  <si>
    <t xml:space="preserve">70302935-9</t>
  </si>
  <si>
    <t xml:space="preserve">75628462-8</t>
  </si>
  <si>
    <t xml:space="preserve">46354849-3</t>
  </si>
  <si>
    <t xml:space="preserve">41129553-8</t>
  </si>
  <si>
    <t xml:space="preserve">42867288-2</t>
  </si>
  <si>
    <t xml:space="preserve">75913755-3</t>
  </si>
  <si>
    <t xml:space="preserve">71009427-1</t>
  </si>
  <si>
    <t xml:space="preserve">10299889-3</t>
  </si>
  <si>
    <t xml:space="preserve">47798730-9</t>
  </si>
  <si>
    <t xml:space="preserve">47106896-4</t>
  </si>
  <si>
    <t xml:space="preserve">72900141-0</t>
  </si>
  <si>
    <t xml:space="preserve">70488249-7</t>
  </si>
  <si>
    <t xml:space="preserve">77575311-6</t>
  </si>
  <si>
    <t xml:space="preserve">M11</t>
  </si>
  <si>
    <t xml:space="preserve">48990227-9</t>
  </si>
  <si>
    <t xml:space="preserve">41138380-1</t>
  </si>
  <si>
    <t xml:space="preserve">49010120-4</t>
  </si>
  <si>
    <t xml:space="preserve">48142442-4</t>
  </si>
  <si>
    <t xml:space="preserve">72929459-0</t>
  </si>
  <si>
    <t xml:space="preserve">46255790-1</t>
  </si>
  <si>
    <t xml:space="preserve">HENRRY JHONATHAN POMPA EUGENIO</t>
  </si>
  <si>
    <t xml:space="preserve">JHIMY TAFUR CHAVEZ</t>
  </si>
  <si>
    <t xml:space="preserve">CAJAMARCA</t>
  </si>
  <si>
    <t xml:space="preserve">71785004-7</t>
  </si>
  <si>
    <t xml:space="preserve">71031096-9</t>
  </si>
  <si>
    <t xml:space="preserve">41726333-6</t>
  </si>
  <si>
    <t xml:space="preserve">76934229-5</t>
  </si>
  <si>
    <t xml:space="preserve">47338127-9</t>
  </si>
  <si>
    <t xml:space="preserve">77491421-3</t>
  </si>
  <si>
    <t xml:space="preserve">72447633-9</t>
  </si>
  <si>
    <t xml:space="preserve">60500525-5</t>
  </si>
  <si>
    <t xml:space="preserve">75065040-1</t>
  </si>
  <si>
    <t xml:space="preserve">74219240-2</t>
  </si>
  <si>
    <t xml:space="preserve">47583548-0</t>
  </si>
  <si>
    <t xml:space="preserve">73900945-1</t>
  </si>
  <si>
    <t xml:space="preserve">SAMANTHA ALIAGA ZURITA</t>
  </si>
  <si>
    <t xml:space="preserve">70662167-4</t>
  </si>
  <si>
    <t xml:space="preserve">73600985-0</t>
  </si>
  <si>
    <t xml:space="preserve">43020786-1</t>
  </si>
  <si>
    <t xml:space="preserve">73440107-8</t>
  </si>
  <si>
    <t xml:space="preserve">73221708-3</t>
  </si>
  <si>
    <t xml:space="preserve">70181782-1</t>
  </si>
  <si>
    <t xml:space="preserve">72654814-1</t>
  </si>
  <si>
    <t xml:space="preserve">72003477-3</t>
  </si>
  <si>
    <t xml:space="preserve">47309641-8</t>
  </si>
  <si>
    <t xml:space="preserve">61866020-1</t>
  </si>
  <si>
    <t xml:space="preserve">76958319-5</t>
  </si>
  <si>
    <t xml:space="preserve">47839802-1</t>
  </si>
  <si>
    <t xml:space="preserve">74653422-7</t>
  </si>
  <si>
    <t xml:space="preserve">71818874-7</t>
  </si>
  <si>
    <t xml:space="preserve">ZULLY MARIN TELLO</t>
  </si>
  <si>
    <t xml:space="preserve">72696904-9</t>
  </si>
  <si>
    <t xml:space="preserve">72215938-7</t>
  </si>
  <si>
    <t xml:space="preserve">77062441-5</t>
  </si>
  <si>
    <t xml:space="preserve">47292898-3</t>
  </si>
  <si>
    <t xml:space="preserve">71975516-5</t>
  </si>
  <si>
    <t xml:space="preserve">47372798-1</t>
  </si>
  <si>
    <t xml:space="preserve">72315053-7</t>
  </si>
  <si>
    <t xml:space="preserve">76267407-1</t>
  </si>
  <si>
    <t xml:space="preserve">ANA CECILIA LEON CHACON</t>
  </si>
  <si>
    <t xml:space="preserve">JOSE ANGELATS AGREDA</t>
  </si>
  <si>
    <t xml:space="preserve">TRUJILLO</t>
  </si>
  <si>
    <t xml:space="preserve">48081181-5</t>
  </si>
  <si>
    <t xml:space="preserve">73527127-5</t>
  </si>
  <si>
    <t xml:space="preserve">48305614-7</t>
  </si>
  <si>
    <t xml:space="preserve">70854691-2</t>
  </si>
  <si>
    <t xml:space="preserve">73661366-8</t>
  </si>
  <si>
    <t xml:space="preserve">70801843-6</t>
  </si>
  <si>
    <t xml:space="preserve">VERONICA SANTILLAN SALAZAR</t>
  </si>
  <si>
    <t xml:space="preserve">44239347-3</t>
  </si>
  <si>
    <t xml:space="preserve">48146819-7</t>
  </si>
  <si>
    <t xml:space="preserve">47437021-1</t>
  </si>
  <si>
    <t xml:space="preserve">71058651-4</t>
  </si>
  <si>
    <t xml:space="preserve">71210169-1</t>
  </si>
  <si>
    <t xml:space="preserve">47464085-5</t>
  </si>
  <si>
    <t xml:space="preserve">74983088-9</t>
  </si>
  <si>
    <t xml:space="preserve">70039014-0</t>
  </si>
  <si>
    <t xml:space="preserve">42040059-0</t>
  </si>
  <si>
    <t xml:space="preserve">DELIA LEON RUIDIAS</t>
  </si>
  <si>
    <t xml:space="preserve">60768630-6</t>
  </si>
  <si>
    <t xml:space="preserve">72402384-9</t>
  </si>
  <si>
    <t xml:space="preserve">70682386-2</t>
  </si>
  <si>
    <t xml:space="preserve">72235485-6</t>
  </si>
  <si>
    <t xml:space="preserve">70525424-4</t>
  </si>
  <si>
    <t xml:space="preserve">74959602-9</t>
  </si>
  <si>
    <t xml:space="preserve">46457519-2</t>
  </si>
  <si>
    <t xml:space="preserve">JUAN CASTILLO CORREA</t>
  </si>
  <si>
    <t xml:space="preserve">70376259-5</t>
  </si>
  <si>
    <t xml:space="preserve">71949107-9</t>
  </si>
  <si>
    <t xml:space="preserve">76713959-0</t>
  </si>
  <si>
    <t xml:space="preserve">71028809-2</t>
  </si>
  <si>
    <t xml:space="preserve">73739736-5</t>
  </si>
  <si>
    <t xml:space="preserve">71466657-1</t>
  </si>
  <si>
    <t xml:space="preserve">72503204-3</t>
  </si>
  <si>
    <t xml:space="preserve">77299580-1</t>
  </si>
  <si>
    <t xml:space="preserve">71514916-3</t>
  </si>
  <si>
    <t xml:space="preserve">70323823-3</t>
  </si>
  <si>
    <t xml:space="preserve">76665198-0</t>
  </si>
  <si>
    <t xml:space="preserve">75143635-7</t>
  </si>
  <si>
    <t xml:space="preserve">73790666-9</t>
  </si>
  <si>
    <t xml:space="preserve">74367446-0</t>
  </si>
  <si>
    <t xml:space="preserve">70459326-6</t>
  </si>
  <si>
    <t xml:space="preserve">70285792-4</t>
  </si>
  <si>
    <t xml:space="preserve">48077403-1</t>
  </si>
  <si>
    <t xml:space="preserve">46731674-1</t>
  </si>
  <si>
    <t xml:space="preserve">43460030-3</t>
  </si>
  <si>
    <t xml:space="preserve">70778165-9</t>
  </si>
  <si>
    <t xml:space="preserve">72329577-2</t>
  </si>
  <si>
    <t xml:space="preserve">74160702-1</t>
  </si>
  <si>
    <t xml:space="preserve">70902325-5</t>
  </si>
  <si>
    <t xml:space="preserve">41514162-4</t>
  </si>
  <si>
    <t xml:space="preserve">76449200-1</t>
  </si>
  <si>
    <t xml:space="preserve">45021034-5</t>
  </si>
  <si>
    <t xml:space="preserve">73782028-4</t>
  </si>
  <si>
    <t xml:space="preserve">LILIANA SEJO SUAREZ</t>
  </si>
  <si>
    <t xml:space="preserve">48036149-6</t>
  </si>
  <si>
    <t xml:space="preserve">76494409-2</t>
  </si>
  <si>
    <t xml:space="preserve">75686214-1</t>
  </si>
  <si>
    <t xml:space="preserve">46385234-6</t>
  </si>
  <si>
    <t xml:space="preserve">72505244-3</t>
  </si>
  <si>
    <t xml:space="preserve">MARITZA HUAMAN NAVARRO</t>
  </si>
  <si>
    <t xml:space="preserve">70067394-0</t>
  </si>
  <si>
    <t xml:space="preserve">75841750-1</t>
  </si>
  <si>
    <t xml:space="preserve">76199458-7</t>
  </si>
  <si>
    <t xml:space="preserve">76656036-4</t>
  </si>
  <si>
    <t xml:space="preserve">NINO BELLIDO VALENZUELA</t>
  </si>
  <si>
    <t xml:space="preserve">75628851-8</t>
  </si>
  <si>
    <t xml:space="preserve">48205433-7</t>
  </si>
  <si>
    <t xml:space="preserve">48510663-0</t>
  </si>
  <si>
    <t xml:space="preserve">76177341-6</t>
  </si>
  <si>
    <t xml:space="preserve">48409758-1</t>
  </si>
  <si>
    <t xml:space="preserve">48007648-1</t>
  </si>
  <si>
    <t xml:space="preserve">45315468-3</t>
  </si>
  <si>
    <t xml:space="preserve">46138595-3</t>
  </si>
  <si>
    <t xml:space="preserve">48045946-1</t>
  </si>
  <si>
    <t xml:space="preserve">76777570-4</t>
  </si>
  <si>
    <t xml:space="preserve">71833088-8</t>
  </si>
  <si>
    <t xml:space="preserve">74430078-4</t>
  </si>
  <si>
    <t xml:space="preserve">70732649-8</t>
  </si>
  <si>
    <t xml:space="preserve">73234438-7</t>
  </si>
  <si>
    <t xml:space="preserve">76655978-1</t>
  </si>
  <si>
    <t xml:space="preserve">46681438-1</t>
  </si>
  <si>
    <t xml:space="preserve">07524372-9</t>
  </si>
  <si>
    <t xml:space="preserve">48768139-9</t>
  </si>
  <si>
    <t xml:space="preserve">Niveles</t>
  </si>
  <si>
    <t xml:space="preserve">Cumplimiento</t>
  </si>
  <si>
    <t xml:space="preserve">Acelerador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</si>
  <si>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</si>
  <si>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</si>
  <si>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</si>
  <si>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</si>
  <si>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</si>
  <si>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</si>
  <si>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No activa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</si>
</sst>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"/>
    <numFmt numFmtId="166" formatCode="0.0%"/>
    <numFmt numFmtId="167" formatCode="#,##0;\(#,##0\);\-"/>
    <numFmt numFmtId="168" formatCode="0.0\x"/>
    <numFmt numFmtId="169" formatCode="0%"/>
    <numFmt numFmtId="170" formatCode="m/d/yyyy"/>
    <numFmt numFmtId="171" formatCode="&quot;S/ &quot;#,##0.0"/>
    <numFmt numFmtId="172" formatCode="0.00"/>
    <numFmt numFmtId="173" formatCode="0"/>
    <numFmt numFmtId="174" formatCode="0.000"/>
    <numFmt numFmtId="175" formatCode="_(* #,##0.00_);_(* \(#,##0.00\);_(* \-??_);_(@_)"/>
  </numFmts>
  <fonts count="2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 val="true"/>
      <sz val="10"/>
      <color theme="0"/>
      <name val="Aptos Narrow"/>
      <family val="2"/>
      <charset val="1"/>
    </font>
    <font>
      <b val="true"/>
      <sz val="10"/>
      <name val="Aptos Narrow"/>
      <family val="2"/>
      <charset val="1"/>
    </font>
    <font>
      <sz val="10"/>
      <color theme="8" tint="-0.5"/>
      <name val="Aptos Narrow"/>
      <family val="2"/>
      <charset val="1"/>
    </font>
    <font>
      <sz val="10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EF2F6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 tint="0.7999"/>
        <bgColor rgb="FFD5F0DC"/>
      </patternFill>
    </fill>
    <fill>
      <patternFill patternType="solid">
        <fgColor rgb="FF0000FF"/>
        <bgColor rgb="FF0000FF"/>
      </patternFill>
    </fill>
    <fill>
      <patternFill patternType="solid">
        <fgColor theme="4"/>
        <bgColor rgb="FF008080"/>
      </patternFill>
    </fill>
    <fill>
      <patternFill patternType="solid">
        <fgColor theme="5" tint="0.3999"/>
        <bgColor rgb="FFFF8080"/>
      </patternFill>
    </fill>
    <fill>
      <patternFill patternType="solid">
        <fgColor theme="7" tint="0.5999"/>
        <bgColor rgb="FFC1E5F5"/>
      </patternFill>
    </fill>
    <fill>
      <patternFill patternType="solid">
        <fgColor rgb="FF86B4AB"/>
        <bgColor rgb="FF9999FF"/>
      </patternFill>
    </fill>
    <fill>
      <patternFill patternType="solid">
        <fgColor theme="9" tint="0.7999"/>
        <bgColor rgb="FFD5F0D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A"/>
      </left>
      <right style="thin">
        <color rgb="FFC9D1DA"/>
      </right>
      <top style="thin">
        <color rgb="FFC9D1DA"/>
      </top>
      <bottom style="thin">
        <color rgb="FFC9D1DA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3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5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1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3" fillId="0" borderId="0" xfId="19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19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5F0DC"/>
          <bgColor rgb="FF000000"/>
        </patternFill>
      </fill>
    </dxf>
    <dxf>
      <fill>
        <patternFill patternType="solid">
          <fgColor rgb="FFF8D9D6"/>
          <bgColor rgb="FF000000"/>
        </patternFill>
      </fill>
    </dxf>
    <dxf>
      <fill>
        <patternFill patternType="solid">
          <fgColor rgb="FFFFF1C7"/>
          <bgColor rgb="FF000000"/>
        </patternFill>
      </fill>
    </dxf>
    <dxf>
      <fill>
        <patternFill>
          <bgColor rgb="FFD5F0DC"/>
        </patternFill>
      </fill>
    </dxf>
    <dxf>
      <fill>
        <patternFill>
          <bgColor rgb="FFFFF1C7"/>
        </patternFill>
      </fill>
    </dxf>
    <dxf>
      <fill>
        <patternFill>
          <bgColor rgb="FFF8D9D6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156082"/>
      <rgbColor rgb="FFF8D9D6"/>
      <rgbColor rgb="FF808080"/>
      <rgbColor rgb="FF9999FF"/>
      <rgbColor rgb="FF993366"/>
      <rgbColor rgb="FFFFF1C7"/>
      <rgbColor rgb="FFD5F0DC"/>
      <rgbColor rgb="FF501649"/>
      <rgbColor rgb="FFFF8080"/>
      <rgbColor rgb="FF0066CC"/>
      <rgbColor rgb="FFC9D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E5F5"/>
      <rgbColor rgb="FFD9F2D0"/>
      <rgbColor rgb="FFEEF2F6"/>
      <rgbColor rgb="FF96DCF8"/>
      <rgbColor rgb="FFF2AA84"/>
      <rgbColor rgb="FFCC99FF"/>
      <rgbColor rgb="FFFFC7CE"/>
      <rgbColor rgb="FF3366FF"/>
      <rgbColor rgb="FF46B1E1"/>
      <rgbColor rgb="FF99CC00"/>
      <rgbColor rgb="FFFFCC00"/>
      <rgbColor rgb="FFFF9900"/>
      <rgbColor rgb="FFFF6600"/>
      <rgbColor rgb="FF555555"/>
      <rgbColor rgb="FF86B4AB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2" min="2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2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</row>
    <row r="5" customFormat="false" ht="15" hidden="false" customHeight="false" outlineLevel="0" collapsed="false">
      <c r="A5" s="4" t="s">
        <v>24</v>
      </c>
      <c r="B5" s="4" t="n">
        <f aca="false">COUNTIF('Detalle asesor'!$B$2:$B$264,$A5)</f>
        <v>44</v>
      </c>
      <c r="C5" s="5" t="n">
        <f aca="false">SUMIF('Detalle asesor'!$B$2:$B$264,$A5,'Detalle asesor'!$F$2:$F$264)</f>
        <v>38.9090909090909</v>
      </c>
      <c r="D5" s="4" t="n">
        <f aca="false">SUMIF('Detalle asesor'!$B$2:$B$264,$A5,'Detalle asesor'!$G$2:$G$264)</f>
        <v>296</v>
      </c>
      <c r="E5" s="4" t="n">
        <f aca="false">SUMIF('Detalle asesor'!$B$2:$B$264,$A5,'Detalle asesor'!$H$2:$H$264)</f>
        <v>622</v>
      </c>
      <c r="F5" s="6" t="n">
        <f aca="false">IFERROR(D5/E5,0)</f>
        <v>0.47588424437299</v>
      </c>
      <c r="G5" s="4" t="n">
        <f aca="false">SUMIF('Detalle asesor'!$B$2:$B$264,$A5,'Detalle asesor'!$J$2:$J$264)</f>
        <v>223</v>
      </c>
      <c r="H5" s="5" t="n">
        <f aca="false">SUMIF('Detalle asesor'!$B$2:$B$264,$A5,'Detalle asesor'!$N$2:$N$264)</f>
        <v>381.590909090909</v>
      </c>
      <c r="I5" s="4" t="n">
        <f aca="false">SUMIF('Detalle asesor'!$B$2:$B$264,$A5,'Detalle asesor'!$O$2:$O$264)</f>
        <v>212</v>
      </c>
      <c r="J5" s="6" t="n">
        <f aca="false">IFERROR(H5/I5,0)</f>
        <v>1.79995711835334</v>
      </c>
      <c r="K5" s="6" t="n">
        <f aca="false">Parametros!$B$3*F5+Parametros!$B$4*IFERROR(G5/I5,0)</f>
        <v>0.648685008796942</v>
      </c>
      <c r="L5" s="6" t="n">
        <f aca="false">Parametros!$B$3*F5+Parametros!$B$4*J5</f>
        <v>0.873106106567097</v>
      </c>
      <c r="M5" s="7" t="n">
        <f aca="false">D5-E5</f>
        <v>-326</v>
      </c>
      <c r="N5" s="7" t="n">
        <f aca="false">H5-I5</f>
        <v>169.590909090909</v>
      </c>
      <c r="O5" s="4" t="n">
        <f aca="false">COUNTIFS('Detalle asesor'!$B$2:$B$264,$A5,'Detalle asesor'!$Z$2:$Z$264,"Activa")</f>
        <v>26</v>
      </c>
      <c r="P5" s="4" t="n">
        <f aca="false">COUNTIFS('Detalle asesor'!$B$2:$B$264,$A5,'Detalle asesor'!$Z$2:$Z$264,"Cerca")</f>
        <v>3</v>
      </c>
      <c r="Q5" s="4" t="n">
        <f aca="false">COUNTIFS('Detalle asesor'!$B$2:$B$264,$A5,'Detalle asesor'!$Z$2:$Z$264,"No activa")</f>
        <v>15</v>
      </c>
      <c r="R5" s="6" t="n">
        <f aca="false">IFERROR(O5/B5,0)</f>
        <v>0.590909090909091</v>
      </c>
      <c r="S5" s="7" t="n">
        <f aca="false">SUMIF('Detalle asesor'!$B$2:$B$264,$A5,'Detalle asesor'!$V$2:$V$264)</f>
        <v>48490</v>
      </c>
      <c r="T5" s="7" t="n">
        <f aca="false">SUMIF('Detalle asesor'!$B$2:$B$264,$A5,'Detalle asesor'!$Y$2:$Y$264)</f>
        <v>11640</v>
      </c>
      <c r="U5" s="7" t="n">
        <f aca="false">SUMIF('Detalle asesor'!$B$2:$B$264,$A5,'Detalle asesor'!$W$2:$W$264)</f>
        <v>35015</v>
      </c>
      <c r="V5" s="6" t="n">
        <f aca="false">IFERROR(U5/S5,0)</f>
        <v>0.722107651062075</v>
      </c>
    </row>
    <row r="6" customFormat="false" ht="15" hidden="false" customHeight="false" outlineLevel="0" collapsed="false">
      <c r="A6" s="4" t="s">
        <v>25</v>
      </c>
      <c r="B6" s="4" t="n">
        <f aca="false">COUNTIF('Detalle asesor'!$B$2:$B$264,$A6)</f>
        <v>27</v>
      </c>
      <c r="C6" s="5" t="n">
        <f aca="false">SUMIF('Detalle asesor'!$B$2:$B$264,$A6,'Detalle asesor'!$F$2:$F$264)</f>
        <v>22.7954545454545</v>
      </c>
      <c r="D6" s="4" t="n">
        <f aca="false">SUMIF('Detalle asesor'!$B$2:$B$264,$A6,'Detalle asesor'!$G$2:$G$264)</f>
        <v>61</v>
      </c>
      <c r="E6" s="4" t="n">
        <f aca="false">SUMIF('Detalle asesor'!$B$2:$B$264,$A6,'Detalle asesor'!$H$2:$H$264)</f>
        <v>227</v>
      </c>
      <c r="F6" s="6" t="n">
        <f aca="false">IFERROR(D6/E6,0)</f>
        <v>0.268722466960352</v>
      </c>
      <c r="G6" s="4" t="n">
        <f aca="false">SUMIF('Detalle asesor'!$B$2:$B$264,$A6,'Detalle asesor'!$J$2:$J$264)</f>
        <v>69</v>
      </c>
      <c r="H6" s="5" t="n">
        <f aca="false">SUMIF('Detalle asesor'!$B$2:$B$264,$A6,'Detalle asesor'!$N$2:$N$264)</f>
        <v>108.681818181818</v>
      </c>
      <c r="I6" s="4" t="n">
        <f aca="false">SUMIF('Detalle asesor'!$B$2:$B$264,$A6,'Detalle asesor'!$O$2:$O$264)</f>
        <v>95</v>
      </c>
      <c r="J6" s="6" t="n">
        <f aca="false">IFERROR(H6/I6,0)</f>
        <v>1.14401913875598</v>
      </c>
      <c r="K6" s="6" t="n">
        <f aca="false">Parametros!$B$3*F6+Parametros!$B$4*IFERROR(G6/I6,0)</f>
        <v>0.406000463714352</v>
      </c>
      <c r="L6" s="6" t="n">
        <f aca="false">Parametros!$B$3*F6+Parametros!$B$4*J6</f>
        <v>0.531311468499041</v>
      </c>
      <c r="M6" s="7" t="n">
        <f aca="false">D6-E6</f>
        <v>-166</v>
      </c>
      <c r="N6" s="7" t="n">
        <f aca="false">H6-I6</f>
        <v>13.6818181818182</v>
      </c>
      <c r="O6" s="4" t="n">
        <f aca="false">COUNTIFS('Detalle asesor'!$B$2:$B$264,$A6,'Detalle asesor'!$Z$2:$Z$264,"Activa")</f>
        <v>5</v>
      </c>
      <c r="P6" s="4" t="n">
        <f aca="false">COUNTIFS('Detalle asesor'!$B$2:$B$264,$A6,'Detalle asesor'!$Z$2:$Z$264,"Cerca")</f>
        <v>1</v>
      </c>
      <c r="Q6" s="4" t="n">
        <f aca="false">COUNTIFS('Detalle asesor'!$B$2:$B$264,$A6,'Detalle asesor'!$Z$2:$Z$264,"No activa")</f>
        <v>21</v>
      </c>
      <c r="R6" s="6" t="n">
        <f aca="false">IFERROR(O6/B6,0)</f>
        <v>0.185185185185185</v>
      </c>
      <c r="S6" s="7" t="n">
        <f aca="false">SUMIF('Detalle asesor'!$B$2:$B$264,$A6,'Detalle asesor'!$V$2:$V$264)</f>
        <v>27355</v>
      </c>
      <c r="T6" s="7" t="n">
        <f aca="false">SUMIF('Detalle asesor'!$B$2:$B$264,$A6,'Detalle asesor'!$Y$2:$Y$264)</f>
        <v>900</v>
      </c>
      <c r="U6" s="7" t="n">
        <f aca="false">SUMIF('Detalle asesor'!$B$2:$B$264,$A6,'Detalle asesor'!$W$2:$W$264)</f>
        <v>5460</v>
      </c>
      <c r="V6" s="6" t="n">
        <f aca="false">IFERROR(U6/S6,0)</f>
        <v>0.199597879729483</v>
      </c>
    </row>
    <row r="7" customFormat="false" ht="15" hidden="false" customHeight="false" outlineLevel="0" collapsed="false">
      <c r="A7" s="4" t="s">
        <v>26</v>
      </c>
      <c r="B7" s="4" t="n">
        <f aca="false">COUNTIF('Detalle asesor'!$B$2:$B$264,$A7)</f>
        <v>38</v>
      </c>
      <c r="C7" s="5" t="n">
        <f aca="false">SUMIF('Detalle asesor'!$B$2:$B$264,$A7,'Detalle asesor'!$F$2:$F$264)</f>
        <v>35</v>
      </c>
      <c r="D7" s="4" t="n">
        <f aca="false">SUMIF('Detalle asesor'!$B$2:$B$264,$A7,'Detalle asesor'!$G$2:$G$264)</f>
        <v>128</v>
      </c>
      <c r="E7" s="4" t="n">
        <f aca="false">SUMIF('Detalle asesor'!$B$2:$B$264,$A7,'Detalle asesor'!$H$2:$H$264)</f>
        <v>250</v>
      </c>
      <c r="F7" s="6" t="n">
        <f aca="false">IFERROR(D7/E7,0)</f>
        <v>0.512</v>
      </c>
      <c r="G7" s="4" t="n">
        <f aca="false">SUMIF('Detalle asesor'!$B$2:$B$264,$A7,'Detalle asesor'!$J$2:$J$264)</f>
        <v>14</v>
      </c>
      <c r="H7" s="5" t="n">
        <f aca="false">SUMIF('Detalle asesor'!$B$2:$B$264,$A7,'Detalle asesor'!$N$2:$N$264)</f>
        <v>27</v>
      </c>
      <c r="I7" s="4" t="n">
        <f aca="false">SUMIF('Detalle asesor'!$B$2:$B$264,$A7,'Detalle asesor'!$O$2:$O$264)</f>
        <v>109</v>
      </c>
      <c r="J7" s="6" t="n">
        <f aca="false">IFERROR(H7/I7,0)</f>
        <v>0.247706422018349</v>
      </c>
      <c r="K7" s="6" t="n">
        <f aca="false">Parametros!$B$3*F7+Parametros!$B$4*IFERROR(G7/I7,0)</f>
        <v>0.396932110091743</v>
      </c>
      <c r="L7" s="6" t="n">
        <f aca="false">Parametros!$B$3*F7+Parametros!$B$4*J7</f>
        <v>0.432711926605505</v>
      </c>
      <c r="M7" s="7" t="n">
        <f aca="false">D7-E7</f>
        <v>-122</v>
      </c>
      <c r="N7" s="7" t="n">
        <f aca="false">H7-I7</f>
        <v>-82</v>
      </c>
      <c r="O7" s="4" t="n">
        <f aca="false">COUNTIFS('Detalle asesor'!$B$2:$B$264,$A7,'Detalle asesor'!$Z$2:$Z$264,"Activa")</f>
        <v>5</v>
      </c>
      <c r="P7" s="4" t="n">
        <f aca="false">COUNTIFS('Detalle asesor'!$B$2:$B$264,$A7,'Detalle asesor'!$Z$2:$Z$264,"Cerca")</f>
        <v>1</v>
      </c>
      <c r="Q7" s="4" t="n">
        <f aca="false">COUNTIFS('Detalle asesor'!$B$2:$B$264,$A7,'Detalle asesor'!$Z$2:$Z$264,"No activa")</f>
        <v>32</v>
      </c>
      <c r="R7" s="6" t="n">
        <f aca="false">IFERROR(O7/B7,0)</f>
        <v>0.131578947368421</v>
      </c>
      <c r="S7" s="7" t="n">
        <f aca="false">SUMIF('Detalle asesor'!$B$2:$B$264,$A7,'Detalle asesor'!$V$2:$V$264)</f>
        <v>42000</v>
      </c>
      <c r="T7" s="7" t="n">
        <f aca="false">SUMIF('Detalle asesor'!$B$2:$B$264,$A7,'Detalle asesor'!$Y$2:$Y$264)</f>
        <v>9960</v>
      </c>
      <c r="U7" s="7" t="n">
        <f aca="false">SUMIF('Detalle asesor'!$B$2:$B$264,$A7,'Detalle asesor'!$W$2:$W$264)</f>
        <v>9960</v>
      </c>
      <c r="V7" s="6" t="n">
        <f aca="false">IFERROR(U7/S7,0)</f>
        <v>0.237142857142857</v>
      </c>
    </row>
    <row r="8" customFormat="false" ht="15" hidden="false" customHeight="false" outlineLevel="0" collapsed="false">
      <c r="A8" s="4" t="s">
        <v>27</v>
      </c>
      <c r="B8" s="4" t="n">
        <f aca="false">COUNTIF('Detalle asesor'!$B$2:$B$264,$A8)</f>
        <v>41</v>
      </c>
      <c r="C8" s="5" t="n">
        <f aca="false">SUMIF('Detalle asesor'!$B$2:$B$264,$A8,'Detalle asesor'!$F$2:$F$264)</f>
        <v>37.6590909090909</v>
      </c>
      <c r="D8" s="4" t="n">
        <f aca="false">SUMIF('Detalle asesor'!$B$2:$B$264,$A8,'Detalle asesor'!$G$2:$G$264)</f>
        <v>33</v>
      </c>
      <c r="E8" s="4" t="n">
        <f aca="false">SUMIF('Detalle asesor'!$B$2:$B$264,$A8,'Detalle asesor'!$H$2:$H$264)</f>
        <v>174</v>
      </c>
      <c r="F8" s="6" t="n">
        <f aca="false">IFERROR(D8/E8,0)</f>
        <v>0.189655172413793</v>
      </c>
      <c r="G8" s="4" t="n">
        <f aca="false">SUMIF('Detalle asesor'!$B$2:$B$264,$A8,'Detalle asesor'!$J$2:$J$264)</f>
        <v>51</v>
      </c>
      <c r="H8" s="5" t="n">
        <f aca="false">SUMIF('Detalle asesor'!$B$2:$B$264,$A8,'Detalle asesor'!$N$2:$N$264)</f>
        <v>89.5</v>
      </c>
      <c r="I8" s="4" t="n">
        <f aca="false">SUMIF('Detalle asesor'!$B$2:$B$264,$A8,'Detalle asesor'!$O$2:$O$264)</f>
        <v>81</v>
      </c>
      <c r="J8" s="6" t="n">
        <f aca="false">IFERROR(H8/I8,0)</f>
        <v>1.10493827160494</v>
      </c>
      <c r="K8" s="6" t="n">
        <f aca="false">Parametros!$B$3*F8+Parametros!$B$4*IFERROR(G8/I8,0)</f>
        <v>0.321647509578544</v>
      </c>
      <c r="L8" s="6" t="n">
        <f aca="false">Parametros!$B$3*F8+Parametros!$B$4*J8</f>
        <v>0.464240102171137</v>
      </c>
      <c r="M8" s="7" t="n">
        <f aca="false">D8-E8</f>
        <v>-141</v>
      </c>
      <c r="N8" s="7" t="n">
        <f aca="false">H8-I8</f>
        <v>8.5</v>
      </c>
      <c r="O8" s="4" t="n">
        <f aca="false">COUNTIFS('Detalle asesor'!$B$2:$B$264,$A8,'Detalle asesor'!$Z$2:$Z$264,"Activa")</f>
        <v>13</v>
      </c>
      <c r="P8" s="4" t="n">
        <f aca="false">COUNTIFS('Detalle asesor'!$B$2:$B$264,$A8,'Detalle asesor'!$Z$2:$Z$264,"Cerca")</f>
        <v>1</v>
      </c>
      <c r="Q8" s="4" t="n">
        <f aca="false">COUNTIFS('Detalle asesor'!$B$2:$B$264,$A8,'Detalle asesor'!$Z$2:$Z$264,"No activa")</f>
        <v>27</v>
      </c>
      <c r="R8" s="6" t="n">
        <f aca="false">IFERROR(O8/B8,0)</f>
        <v>0.317073170731707</v>
      </c>
      <c r="S8" s="7" t="n">
        <f aca="false">SUMIF('Detalle asesor'!$B$2:$B$264,$A8,'Detalle asesor'!$V$2:$V$264)</f>
        <v>45191</v>
      </c>
      <c r="T8" s="7" t="n">
        <f aca="false">SUMIF('Detalle asesor'!$B$2:$B$264,$A8,'Detalle asesor'!$Y$2:$Y$264)</f>
        <v>5220</v>
      </c>
      <c r="U8" s="7" t="n">
        <f aca="false">SUMIF('Detalle asesor'!$B$2:$B$264,$A8,'Detalle asesor'!$W$2:$W$264)</f>
        <v>15540</v>
      </c>
      <c r="V8" s="6" t="n">
        <f aca="false">IFERROR(U8/S8,0)</f>
        <v>0.343873780177469</v>
      </c>
    </row>
    <row r="9" customFormat="false" ht="15" hidden="false" customHeight="false" outlineLevel="0" collapsed="false">
      <c r="A9" s="4" t="s">
        <v>28</v>
      </c>
      <c r="B9" s="4" t="n">
        <f aca="false">COUNTIF('Detalle asesor'!$B$2:$B$264,$A9)</f>
        <v>18</v>
      </c>
      <c r="C9" s="5" t="n">
        <f aca="false">SUMIF('Detalle asesor'!$B$2:$B$264,$A9,'Detalle asesor'!$F$2:$F$264)</f>
        <v>15.2954545454545</v>
      </c>
      <c r="D9" s="4" t="n">
        <f aca="false">SUMIF('Detalle asesor'!$B$2:$B$264,$A9,'Detalle asesor'!$G$2:$G$264)</f>
        <v>228</v>
      </c>
      <c r="E9" s="4" t="n">
        <f aca="false">SUMIF('Detalle asesor'!$B$2:$B$264,$A9,'Detalle asesor'!$H$2:$H$264)</f>
        <v>459</v>
      </c>
      <c r="F9" s="6" t="n">
        <f aca="false">IFERROR(D9/E9,0)</f>
        <v>0.496732026143791</v>
      </c>
      <c r="G9" s="4" t="n">
        <f aca="false">SUMIF('Detalle asesor'!$B$2:$B$264,$A9,'Detalle asesor'!$J$2:$J$264)</f>
        <v>175</v>
      </c>
      <c r="H9" s="5" t="n">
        <f aca="false">SUMIF('Detalle asesor'!$B$2:$B$264,$A9,'Detalle asesor'!$N$2:$N$264)</f>
        <v>304.345454545455</v>
      </c>
      <c r="I9" s="4" t="n">
        <f aca="false">SUMIF('Detalle asesor'!$B$2:$B$264,$A9,'Detalle asesor'!$O$2:$O$264)</f>
        <v>164</v>
      </c>
      <c r="J9" s="6" t="n">
        <f aca="false">IFERROR(H9/I9,0)</f>
        <v>1.85576496674058</v>
      </c>
      <c r="K9" s="6" t="n">
        <f aca="false">Parametros!$B$3*F9+Parametros!$B$4*IFERROR(G9/I9,0)</f>
        <v>0.667834369520166</v>
      </c>
      <c r="L9" s="6" t="n">
        <f aca="false">Parametros!$B$3*F9+Parametros!$B$4*J9</f>
        <v>0.904441908322827</v>
      </c>
      <c r="M9" s="7" t="n">
        <f aca="false">D9-E9</f>
        <v>-231</v>
      </c>
      <c r="N9" s="7" t="n">
        <f aca="false">H9-I9</f>
        <v>140.345454545455</v>
      </c>
      <c r="O9" s="4" t="n">
        <f aca="false">COUNTIFS('Detalle asesor'!$B$2:$B$264,$A9,'Detalle asesor'!$Z$2:$Z$264,"Activa")</f>
        <v>11</v>
      </c>
      <c r="P9" s="4" t="n">
        <f aca="false">COUNTIFS('Detalle asesor'!$B$2:$B$264,$A9,'Detalle asesor'!$Z$2:$Z$264,"Cerca")</f>
        <v>2</v>
      </c>
      <c r="Q9" s="4" t="n">
        <f aca="false">COUNTIFS('Detalle asesor'!$B$2:$B$264,$A9,'Detalle asesor'!$Z$2:$Z$264,"No activa")</f>
        <v>5</v>
      </c>
      <c r="R9" s="6" t="n">
        <f aca="false">IFERROR(O9/B9,0)</f>
        <v>0.611111111111111</v>
      </c>
      <c r="S9" s="7" t="n">
        <f aca="false">SUMIF('Detalle asesor'!$B$2:$B$264,$A9,'Detalle asesor'!$V$2:$V$264)</f>
        <v>18955</v>
      </c>
      <c r="T9" s="7" t="n">
        <f aca="false">SUMIF('Detalle asesor'!$B$2:$B$264,$A9,'Detalle asesor'!$Y$2:$Y$264)</f>
        <v>5722</v>
      </c>
      <c r="U9" s="7" t="n">
        <f aca="false">SUMIF('Detalle asesor'!$B$2:$B$264,$A9,'Detalle asesor'!$W$2:$W$264)</f>
        <v>12941.5</v>
      </c>
      <c r="V9" s="6" t="n">
        <f aca="false">IFERROR(U9/S9,0)</f>
        <v>0.682748615141124</v>
      </c>
    </row>
    <row r="10" customFormat="false" ht="15" hidden="false" customHeight="false" outlineLevel="0" collapsed="false">
      <c r="A10" s="4" t="s">
        <v>29</v>
      </c>
      <c r="B10" s="4" t="n">
        <f aca="false">COUNTIF('Detalle asesor'!$B$2:$B$264,$A10)</f>
        <v>34</v>
      </c>
      <c r="C10" s="5" t="n">
        <f aca="false">SUMIF('Detalle asesor'!$B$2:$B$264,$A10,'Detalle asesor'!$F$2:$F$264)</f>
        <v>24.5</v>
      </c>
      <c r="D10" s="4" t="n">
        <f aca="false">SUMIF('Detalle asesor'!$B$2:$B$264,$A10,'Detalle asesor'!$G$2:$G$264)</f>
        <v>342</v>
      </c>
      <c r="E10" s="4" t="n">
        <f aca="false">SUMIF('Detalle asesor'!$B$2:$B$264,$A10,'Detalle asesor'!$H$2:$H$264)</f>
        <v>451</v>
      </c>
      <c r="F10" s="6" t="n">
        <f aca="false">IFERROR(D10/E10,0)</f>
        <v>0.758314855875832</v>
      </c>
      <c r="G10" s="4" t="n">
        <f aca="false">SUMIF('Detalle asesor'!$B$2:$B$264,$A10,'Detalle asesor'!$J$2:$J$264)</f>
        <v>44</v>
      </c>
      <c r="H10" s="5" t="n">
        <f aca="false">SUMIF('Detalle asesor'!$B$2:$B$264,$A10,'Detalle asesor'!$N$2:$N$264)</f>
        <v>72.9090909090909</v>
      </c>
      <c r="I10" s="4" t="n">
        <f aca="false">SUMIF('Detalle asesor'!$B$2:$B$264,$A10,'Detalle asesor'!$O$2:$O$264)</f>
        <v>194</v>
      </c>
      <c r="J10" s="6" t="n">
        <f aca="false">IFERROR(H10/I10,0)</f>
        <v>0.375820056232427</v>
      </c>
      <c r="K10" s="6" t="n">
        <f aca="false">Parametros!$B$3*F10+Parametros!$B$4*IFERROR(G10/I10,0)</f>
        <v>0.598861636226484</v>
      </c>
      <c r="L10" s="6" t="n">
        <f aca="false">Parametros!$B$3*F10+Parametros!$B$4*J10</f>
        <v>0.64356641598281</v>
      </c>
      <c r="M10" s="7" t="n">
        <f aca="false">D10-E10</f>
        <v>-109</v>
      </c>
      <c r="N10" s="7" t="n">
        <f aca="false">H10-I10</f>
        <v>-121.090909090909</v>
      </c>
      <c r="O10" s="4" t="n">
        <f aca="false">COUNTIFS('Detalle asesor'!$B$2:$B$264,$A10,'Detalle asesor'!$Z$2:$Z$264,"Activa")</f>
        <v>8</v>
      </c>
      <c r="P10" s="4" t="n">
        <f aca="false">COUNTIFS('Detalle asesor'!$B$2:$B$264,$A10,'Detalle asesor'!$Z$2:$Z$264,"Cerca")</f>
        <v>2</v>
      </c>
      <c r="Q10" s="4" t="n">
        <f aca="false">COUNTIFS('Detalle asesor'!$B$2:$B$264,$A10,'Detalle asesor'!$Z$2:$Z$264,"No activa")</f>
        <v>24</v>
      </c>
      <c r="R10" s="6" t="n">
        <f aca="false">IFERROR(O10/B10,0)</f>
        <v>0.235294117647059</v>
      </c>
      <c r="S10" s="7" t="n">
        <f aca="false">SUMIF('Detalle asesor'!$B$2:$B$264,$A10,'Detalle asesor'!$V$2:$V$264)</f>
        <v>30245</v>
      </c>
      <c r="T10" s="7" t="n">
        <f aca="false">SUMIF('Detalle asesor'!$B$2:$B$264,$A10,'Detalle asesor'!$Y$2:$Y$264)</f>
        <v>12150</v>
      </c>
      <c r="U10" s="7" t="n">
        <f aca="false">SUMIF('Detalle asesor'!$B$2:$B$264,$A10,'Detalle asesor'!$W$2:$W$264)</f>
        <v>13470</v>
      </c>
      <c r="V10" s="6" t="n">
        <f aca="false">IFERROR(U10/S10,0)</f>
        <v>0.445362869895851</v>
      </c>
    </row>
    <row r="11" customFormat="false" ht="15" hidden="false" customHeight="false" outlineLevel="0" collapsed="false">
      <c r="A11" s="4" t="s">
        <v>30</v>
      </c>
      <c r="B11" s="4" t="n">
        <f aca="false">COUNTIF('Detalle asesor'!$B$2:$B$264,$A11)</f>
        <v>13</v>
      </c>
      <c r="C11" s="5" t="n">
        <f aca="false">SUMIF('Detalle asesor'!$B$2:$B$264,$A11,'Detalle asesor'!$F$2:$F$264)</f>
        <v>12.25</v>
      </c>
      <c r="D11" s="4" t="n">
        <f aca="false">SUMIF('Detalle asesor'!$B$2:$B$264,$A11,'Detalle asesor'!$G$2:$G$264)</f>
        <v>30</v>
      </c>
      <c r="E11" s="4" t="n">
        <f aca="false">SUMIF('Detalle asesor'!$B$2:$B$264,$A11,'Detalle asesor'!$H$2:$H$264)</f>
        <v>70</v>
      </c>
      <c r="F11" s="6" t="n">
        <f aca="false">IFERROR(D11/E11,0)</f>
        <v>0.428571428571429</v>
      </c>
      <c r="G11" s="4" t="n">
        <f aca="false">SUMIF('Detalle asesor'!$B$2:$B$264,$A11,'Detalle asesor'!$J$2:$J$264)</f>
        <v>7</v>
      </c>
      <c r="H11" s="5" t="n">
        <f aca="false">SUMIF('Detalle asesor'!$B$2:$B$264,$A11,'Detalle asesor'!$N$2:$N$264)</f>
        <v>12</v>
      </c>
      <c r="I11" s="4" t="n">
        <f aca="false">SUMIF('Detalle asesor'!$B$2:$B$264,$A11,'Detalle asesor'!$O$2:$O$264)</f>
        <v>86</v>
      </c>
      <c r="J11" s="6" t="n">
        <f aca="false">IFERROR(H11/I11,0)</f>
        <v>0.13953488372093</v>
      </c>
      <c r="K11" s="6" t="n">
        <f aca="false">Parametros!$B$3*F11+Parametros!$B$4*IFERROR(G11/I11,0)</f>
        <v>0.324418604651163</v>
      </c>
      <c r="L11" s="6" t="n">
        <f aca="false">Parametros!$B$3*F11+Parametros!$B$4*J11</f>
        <v>0.341860465116279</v>
      </c>
      <c r="M11" s="7" t="n">
        <f aca="false">D11-E11</f>
        <v>-40</v>
      </c>
      <c r="N11" s="7" t="n">
        <f aca="false">H11-I11</f>
        <v>-74</v>
      </c>
      <c r="O11" s="4" t="n">
        <f aca="false">COUNTIFS('Detalle asesor'!$B$2:$B$264,$A11,'Detalle asesor'!$Z$2:$Z$264,"Activa")</f>
        <v>2</v>
      </c>
      <c r="P11" s="4" t="n">
        <f aca="false">COUNTIFS('Detalle asesor'!$B$2:$B$264,$A11,'Detalle asesor'!$Z$2:$Z$264,"Cerca")</f>
        <v>0</v>
      </c>
      <c r="Q11" s="4" t="n">
        <f aca="false">COUNTIFS('Detalle asesor'!$B$2:$B$264,$A11,'Detalle asesor'!$Z$2:$Z$264,"No activa")</f>
        <v>11</v>
      </c>
      <c r="R11" s="6" t="n">
        <f aca="false">IFERROR(O11/B11,0)</f>
        <v>0.153846153846154</v>
      </c>
      <c r="S11" s="7" t="n">
        <f aca="false">SUMIF('Detalle asesor'!$B$2:$B$264,$A11,'Detalle asesor'!$V$2:$V$264)</f>
        <v>14700</v>
      </c>
      <c r="T11" s="7" t="n">
        <f aca="false">SUMIF('Detalle asesor'!$B$2:$B$264,$A11,'Detalle asesor'!$Y$2:$Y$264)</f>
        <v>3600</v>
      </c>
      <c r="U11" s="7" t="n">
        <f aca="false">SUMIF('Detalle asesor'!$B$2:$B$264,$A11,'Detalle asesor'!$W$2:$W$264)</f>
        <v>3600</v>
      </c>
      <c r="V11" s="6" t="n">
        <f aca="false">IFERROR(U11/S11,0)</f>
        <v>0.244897959183673</v>
      </c>
    </row>
    <row r="12" customFormat="false" ht="15" hidden="false" customHeight="false" outlineLevel="0" collapsed="false">
      <c r="A12" s="4" t="s">
        <v>31</v>
      </c>
      <c r="B12" s="4" t="n">
        <f aca="false">COUNTIF('Detalle asesor'!$B$2:$B$264,$A12)</f>
        <v>28</v>
      </c>
      <c r="C12" s="5" t="n">
        <f aca="false">SUMIF('Detalle asesor'!$B$2:$B$264,$A12,'Detalle asesor'!$F$2:$F$264)</f>
        <v>0</v>
      </c>
      <c r="D12" s="4" t="n">
        <f aca="false">SUMIF('Detalle asesor'!$B$2:$B$264,$A12,'Detalle asesor'!$G$2:$G$264)</f>
        <v>104</v>
      </c>
      <c r="E12" s="4" t="n">
        <f aca="false">SUMIF('Detalle asesor'!$B$2:$B$264,$A12,'Detalle asesor'!$H$2:$H$264)</f>
        <v>160</v>
      </c>
      <c r="F12" s="6" t="n">
        <f aca="false">IFERROR(D12/E12,0)</f>
        <v>0.65</v>
      </c>
      <c r="G12" s="4" t="n">
        <f aca="false">SUMIF('Detalle asesor'!$B$2:$B$264,$A12,'Detalle asesor'!$J$2:$J$264)</f>
        <v>10</v>
      </c>
      <c r="H12" s="5" t="n">
        <f aca="false">SUMIF('Detalle asesor'!$B$2:$B$264,$A12,'Detalle asesor'!$N$2:$N$264)</f>
        <v>19</v>
      </c>
      <c r="I12" s="4" t="n">
        <f aca="false">SUMIF('Detalle asesor'!$B$2:$B$264,$A12,'Detalle asesor'!$O$2:$O$264)</f>
        <v>209</v>
      </c>
      <c r="J12" s="6" t="n">
        <f aca="false">IFERROR(H12/I12,0)</f>
        <v>0.0909090909090909</v>
      </c>
      <c r="K12" s="6" t="n">
        <f aca="false">Parametros!$B$3*F12+Parametros!$B$4*IFERROR(G12/I12,0)</f>
        <v>0.469354066985646</v>
      </c>
      <c r="L12" s="6" t="n">
        <f aca="false">Parametros!$B$3*F12+Parametros!$B$4*J12</f>
        <v>0.482272727272727</v>
      </c>
      <c r="M12" s="7" t="n">
        <f aca="false">D12-E12</f>
        <v>-56</v>
      </c>
      <c r="N12" s="7" t="n">
        <f aca="false">H12-I12</f>
        <v>-190</v>
      </c>
      <c r="O12" s="4" t="n">
        <f aca="false">COUNTIFS('Detalle asesor'!$B$2:$B$264,$A12,'Detalle asesor'!$Z$2:$Z$264,"Activa")</f>
        <v>6</v>
      </c>
      <c r="P12" s="4" t="n">
        <f aca="false">COUNTIFS('Detalle asesor'!$B$2:$B$264,$A12,'Detalle asesor'!$Z$2:$Z$264,"Cerca")</f>
        <v>4</v>
      </c>
      <c r="Q12" s="4" t="n">
        <f aca="false">COUNTIFS('Detalle asesor'!$B$2:$B$264,$A12,'Detalle asesor'!$Z$2:$Z$264,"No activa")</f>
        <v>18</v>
      </c>
      <c r="R12" s="6" t="n">
        <f aca="false">IFERROR(O12/B12,0)</f>
        <v>0.214285714285714</v>
      </c>
      <c r="S12" s="7" t="n">
        <f aca="false">SUMIF('Detalle asesor'!$B$2:$B$264,$A12,'Detalle asesor'!$V$2:$V$264)</f>
        <v>0</v>
      </c>
      <c r="T12" s="7" t="n">
        <f aca="false">SUMIF('Detalle asesor'!$B$2:$B$264,$A12,'Detalle asesor'!$Y$2:$Y$264)</f>
        <v>0</v>
      </c>
      <c r="U12" s="7" t="n">
        <f aca="false">SUMIF('Detalle asesor'!$B$2:$B$264,$A12,'Detalle asesor'!$W$2:$W$264)</f>
        <v>0</v>
      </c>
      <c r="V12" s="6" t="n">
        <f aca="false">IFERROR(U12/S12,0)</f>
        <v>0</v>
      </c>
    </row>
    <row r="13" customFormat="false" ht="15" hidden="false" customHeight="false" outlineLevel="0" collapsed="false">
      <c r="A13" s="4" t="s">
        <v>32</v>
      </c>
      <c r="B13" s="4" t="n">
        <f aca="false">COUNTIF('Detalle asesor'!$B$2:$B$264,$A13)</f>
        <v>20</v>
      </c>
      <c r="C13" s="5" t="n">
        <f aca="false">SUMIF('Detalle asesor'!$B$2:$B$264,$A13,'Detalle asesor'!$F$2:$F$264)</f>
        <v>18.3181818181818</v>
      </c>
      <c r="D13" s="4" t="n">
        <f aca="false">SUMIF('Detalle asesor'!$B$2:$B$264,$A13,'Detalle asesor'!$G$2:$G$264)</f>
        <v>48</v>
      </c>
      <c r="E13" s="4" t="n">
        <f aca="false">SUMIF('Detalle asesor'!$B$2:$B$264,$A13,'Detalle asesor'!$H$2:$H$264)</f>
        <v>380</v>
      </c>
      <c r="F13" s="6" t="n">
        <f aca="false">IFERROR(D13/E13,0)</f>
        <v>0.126315789473684</v>
      </c>
      <c r="G13" s="4" t="n">
        <f aca="false">SUMIF('Detalle asesor'!$B$2:$B$264,$A13,'Detalle asesor'!$J$2:$J$264)</f>
        <v>0</v>
      </c>
      <c r="H13" s="5" t="n">
        <f aca="false">SUMIF('Detalle asesor'!$B$2:$B$264,$A13,'Detalle asesor'!$N$2:$N$264)</f>
        <v>0</v>
      </c>
      <c r="I13" s="4" t="n">
        <f aca="false">SUMIF('Detalle asesor'!$B$2:$B$264,$A13,'Detalle asesor'!$O$2:$O$264)</f>
        <v>184</v>
      </c>
      <c r="J13" s="6" t="n">
        <f aca="false">IFERROR(H13/I13,0)</f>
        <v>0</v>
      </c>
      <c r="K13" s="6" t="n">
        <f aca="false">Parametros!$B$3*F13+Parametros!$B$4*IFERROR(G13/I13,0)</f>
        <v>0.0884210526315789</v>
      </c>
      <c r="L13" s="6" t="n">
        <f aca="false">Parametros!$B$3*F13+Parametros!$B$4*J13</f>
        <v>0.0884210526315789</v>
      </c>
      <c r="M13" s="7" t="n">
        <f aca="false">D13-E13</f>
        <v>-332</v>
      </c>
      <c r="N13" s="7" t="n">
        <f aca="false">H13-I13</f>
        <v>-184</v>
      </c>
      <c r="O13" s="4" t="n">
        <f aca="false">COUNTIFS('Detalle asesor'!$B$2:$B$264,$A13,'Detalle asesor'!$Z$2:$Z$264,"Activa")</f>
        <v>0</v>
      </c>
      <c r="P13" s="4" t="n">
        <f aca="false">COUNTIFS('Detalle asesor'!$B$2:$B$264,$A13,'Detalle asesor'!$Z$2:$Z$264,"Cerca")</f>
        <v>0</v>
      </c>
      <c r="Q13" s="4" t="n">
        <f aca="false">COUNTIFS('Detalle asesor'!$B$2:$B$264,$A13,'Detalle asesor'!$Z$2:$Z$264,"No activa")</f>
        <v>20</v>
      </c>
      <c r="R13" s="6" t="n">
        <f aca="false">IFERROR(O13/B13,0)</f>
        <v>0</v>
      </c>
      <c r="S13" s="7" t="n">
        <f aca="false">SUMIF('Detalle asesor'!$B$2:$B$264,$A13,'Detalle asesor'!$V$2:$V$264)</f>
        <v>21981</v>
      </c>
      <c r="T13" s="7" t="n">
        <f aca="false">SUMIF('Detalle asesor'!$B$2:$B$264,$A13,'Detalle asesor'!$Y$2:$Y$264)</f>
        <v>0</v>
      </c>
      <c r="U13" s="7" t="n">
        <f aca="false">SUMIF('Detalle asesor'!$B$2:$B$264,$A13,'Detalle asesor'!$W$2:$W$264)</f>
        <v>0</v>
      </c>
      <c r="V13" s="6" t="n">
        <f aca="false">IFERROR(U13/S13,0)</f>
        <v>0</v>
      </c>
    </row>
    <row r="14" customFormat="false" ht="15" hidden="false" customHeight="false" outlineLevel="0" collapsed="false">
      <c r="A14" s="8" t="s">
        <v>33</v>
      </c>
      <c r="B14" s="8" t="n">
        <f aca="false">SUM(B5:B13)</f>
        <v>263</v>
      </c>
      <c r="C14" s="9" t="n">
        <f aca="false">SUM(C5:C13)</f>
        <v>204.727272727273</v>
      </c>
      <c r="D14" s="8" t="n">
        <f aca="false">SUM(D5:D13)</f>
        <v>1270</v>
      </c>
      <c r="E14" s="8" t="n">
        <f aca="false">SUM(E5:E13)</f>
        <v>2793</v>
      </c>
      <c r="F14" s="10" t="n">
        <f aca="false">IFERROR(D14/E14,0)</f>
        <v>0.454708199069101</v>
      </c>
      <c r="G14" s="8" t="n">
        <f aca="false">SUM(G5:G13)</f>
        <v>593</v>
      </c>
      <c r="H14" s="9" t="n">
        <f aca="false">SUM(H5:H13)</f>
        <v>1015.02727272727</v>
      </c>
      <c r="I14" s="8" t="n">
        <f aca="false">SUM(I5:I13)</f>
        <v>1334</v>
      </c>
      <c r="J14" s="10" t="n">
        <f aca="false">IFERROR(H14/I14,0)</f>
        <v>0.760890009540684</v>
      </c>
      <c r="K14" s="10" t="n">
        <f aca="false">Parametros!$B$3*F14+Parametros!$B$4*IFERROR(G14/I14,0)</f>
        <v>0.451654060187951</v>
      </c>
      <c r="L14" s="10" t="n">
        <f aca="false">Parametros!$B$3*F14+Parametros!$B$4*J14</f>
        <v>0.546562742210576</v>
      </c>
      <c r="M14" s="11" t="n">
        <f aca="false">SUM(M5:M13)</f>
        <v>-1523</v>
      </c>
      <c r="N14" s="11" t="n">
        <f aca="false">SUM(N5:N13)</f>
        <v>-318.972727272727</v>
      </c>
      <c r="O14" s="8" t="n">
        <f aca="false">SUM(O5:O13)</f>
        <v>76</v>
      </c>
      <c r="P14" s="8" t="n">
        <f aca="false">SUM(P5:P13)</f>
        <v>14</v>
      </c>
      <c r="Q14" s="8" t="n">
        <f aca="false">SUM(Q5:Q13)</f>
        <v>173</v>
      </c>
      <c r="R14" s="10" t="n">
        <f aca="false">IFERROR(O14/B14,0)</f>
        <v>0.288973384030418</v>
      </c>
      <c r="S14" s="11" t="n">
        <f aca="false">SUM(S5:S13)</f>
        <v>248917</v>
      </c>
      <c r="T14" s="11" t="n">
        <f aca="false">SUM(T5:T13)</f>
        <v>49192</v>
      </c>
      <c r="U14" s="11" t="n">
        <f aca="false">SUM(U5:U13)</f>
        <v>95986.5</v>
      </c>
      <c r="V14" s="10" t="n">
        <f aca="false">IFERROR(U14/S14,0)</f>
        <v>0.385616490637441</v>
      </c>
    </row>
    <row r="16" customFormat="false" ht="15" hidden="false" customHeight="false" outlineLevel="0" collapsed="false">
      <c r="A16" s="12" t="s">
        <v>34</v>
      </c>
      <c r="F16" s="13" t="str">
        <f aca="false">IF(B14=COUNTA(base!$A$2:$A$264),"OK","Revisar")</f>
        <v>OK</v>
      </c>
    </row>
  </sheetData>
  <conditionalFormatting sqref="L5:L13">
    <cfRule type="dataBar" priority="2">
      <dataBar showValue="1" minLength="10" maxLength="90">
        <cfvo type="num" val="0"/>
        <cfvo type="num" val="1.3"/>
        <color rgb="FF2E7D5B"/>
      </dataBar>
      <extLst>
        <ext xmlns:x14="http://schemas.microsoft.com/office/spreadsheetml/2009/9/main" uri="{B025F937-C7B1-47D3-B67F-A62EFF666E3E}">
          <x14:id>{E19F46D2-A5A2-474F-A9DB-65DB5070D268}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F46D2-A5A2-474F-A9DB-65DB5070D268}">
            <x14:dataBar minLength="10" maxLength="90" axisPosition="none" gradient="true">
              <x14:cfvo type="num">
                <xm:f>0</xm:f>
              </x14:cfvo>
              <x14:cfvo type="num">
                <xm:f>1.3</xm:f>
              </x14:cfvo>
              <x14:negativeFillColor rgb="FF2E7D5B"/>
              <x14:axisColor rgb="FF000000"/>
            </x14:dataBar>
          </x14:cfRule>
          <xm:sqref>L5:L13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28"/>
    <col collapsed="false" customWidth="true" hidden="false" outlineLevel="0" max="6" min="6" style="0" width="6"/>
    <col collapsed="false" customWidth="true" hidden="false" outlineLevel="0" max="9" min="7" style="0" width="8"/>
    <col collapsed="false" customWidth="true" hidden="false" outlineLevel="0" max="13" min="10" style="0" width="9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7" min="16" style="0" width="9"/>
    <col collapsed="false" customWidth="true" hidden="false" outlineLevel="0" max="18" min="18" style="0" width="10"/>
    <col collapsed="false" customWidth="true" hidden="false" outlineLevel="0" max="20" min="19" style="0" width="11"/>
    <col collapsed="false" customWidth="true" hidden="false" outlineLevel="0" max="22" min="21" style="0" width="10"/>
    <col collapsed="false" customWidth="true" hidden="false" outlineLevel="0" max="23" min="23" style="0" width="12"/>
    <col collapsed="false" customWidth="true" hidden="false" outlineLevel="0" max="24" min="24" style="0" width="10"/>
    <col collapsed="false" customWidth="true" hidden="false" outlineLevel="0" max="25" min="25" style="0" width="11"/>
    <col collapsed="false" customWidth="true" hidden="false" outlineLevel="0" max="27" min="26" style="0" width="10"/>
  </cols>
  <sheetData>
    <row r="1" customFormat="false" ht="42" hidden="false" customHeight="true" outlineLevel="0" collapsed="false">
      <c r="A1" s="3" t="s">
        <v>35</v>
      </c>
      <c r="B1" s="3" t="s">
        <v>2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5</v>
      </c>
      <c r="H1" s="3" t="s">
        <v>6</v>
      </c>
      <c r="I1" s="3" t="s">
        <v>7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9</v>
      </c>
      <c r="O1" s="3" t="s">
        <v>10</v>
      </c>
      <c r="P1" s="3" t="s">
        <v>44</v>
      </c>
      <c r="Q1" s="3" t="s">
        <v>11</v>
      </c>
      <c r="R1" s="3" t="s">
        <v>12</v>
      </c>
      <c r="S1" s="3" t="s">
        <v>13</v>
      </c>
      <c r="T1" s="3" t="s">
        <v>45</v>
      </c>
      <c r="U1" s="3" t="s">
        <v>46</v>
      </c>
      <c r="V1" s="3" t="s">
        <v>20</v>
      </c>
      <c r="W1" s="3" t="s">
        <v>22</v>
      </c>
      <c r="X1" s="3" t="s">
        <v>47</v>
      </c>
      <c r="Y1" s="3" t="s">
        <v>21</v>
      </c>
      <c r="Z1" s="3" t="s">
        <v>48</v>
      </c>
      <c r="AA1" s="3" t="s">
        <v>49</v>
      </c>
    </row>
    <row r="2" customFormat="false" ht="15" hidden="false" customHeight="false" outlineLevel="0" collapsed="false">
      <c r="A2" s="14" t="str">
        <f aca="false">base!A2</f>
        <v>46050977-2</v>
      </c>
      <c r="B2" s="14" t="str">
        <f aca="false">base!E2</f>
        <v>Counter</v>
      </c>
      <c r="C2" s="14" t="str">
        <f aca="false">base!D2</f>
        <v>Counter</v>
      </c>
      <c r="D2" s="14" t="str">
        <f aca="false">base!F2</f>
        <v>ARACELI TARAZONA SERNAQUE</v>
      </c>
      <c r="E2" s="14" t="str">
        <f aca="false">base!G2</f>
        <v>GISELA AVELLANEDA CAMACHO</v>
      </c>
      <c r="F2" s="14" t="n">
        <f aca="false">N(base!O2)</f>
        <v>1</v>
      </c>
      <c r="G2" s="4" t="n">
        <f aca="false">SUM(base!U2:AF2)+N(base!AK2)</f>
        <v>7</v>
      </c>
      <c r="H2" s="14" t="n">
        <f aca="false">N(base!S2)</f>
        <v>21</v>
      </c>
      <c r="I2" s="6" t="n">
        <f aca="false">IFERROR(G2/H2,0)</f>
        <v>0.333333333333333</v>
      </c>
      <c r="J2" s="4" t="n">
        <f aca="false">SUM(base!AG2:AJ2)</f>
        <v>0</v>
      </c>
      <c r="K2" s="5" t="n">
        <f aca="false">IFERROR((base!AG2+base!AH2)/(base!K2+base!L2),0)</f>
        <v>0</v>
      </c>
      <c r="L2" s="5" t="n">
        <f aca="false">MAX(N(base!AI2),K2*N(base!M2))</f>
        <v>0</v>
      </c>
      <c r="M2" s="5" t="n">
        <f aca="false">MAX(N(base!AJ2),K2*N(base!N2))</f>
        <v>0</v>
      </c>
      <c r="N2" s="5" t="n">
        <f aca="false">base!AG2+base!AH2+L2+M2</f>
        <v>0</v>
      </c>
      <c r="O2" s="14" t="n">
        <f aca="false">N(base!T2)</f>
        <v>9</v>
      </c>
      <c r="P2" s="6" t="n">
        <f aca="false">IFERROR(J2/O2,0)</f>
        <v>0</v>
      </c>
      <c r="Q2" s="6" t="n">
        <f aca="false">IFERROR(N2/O2,0)</f>
        <v>0</v>
      </c>
      <c r="R2" s="6" t="n">
        <f aca="false">Parametros!$B$3*I2+Parametros!$B$4*P2</f>
        <v>0.233333333333333</v>
      </c>
      <c r="S2" s="6" t="n">
        <f aca="false">Parametros!$B$3*I2+Parametros!$B$4*Q2</f>
        <v>0.233333333333333</v>
      </c>
      <c r="T2" s="4" t="str">
        <f aca="false">IF(S2&lt;tablas!$C$3,"No activa",INDEX(tablas!$B$3:$B$8,MATCH(S2,tablas!$C$3:$C$8,1)))</f>
        <v>No activa</v>
      </c>
      <c r="U2" s="15" t="n">
        <f aca="false">IF(S2&lt;tablas!$C$3,0,INDEX(tablas!$D$3:$D$8,MATCH(S2,tablas!$C$3:$C$8,1)))</f>
        <v>0</v>
      </c>
      <c r="V2" s="16" t="n">
        <f aca="false">N(base!AQ2)</f>
        <v>1200</v>
      </c>
      <c r="W2" s="7" t="n">
        <f aca="false">U2*V2</f>
        <v>0</v>
      </c>
      <c r="X2" s="4" t="str">
        <f aca="false">IF(R2&lt;tablas!$C$3,"No activa",INDEX(tablas!$B$3:$B$8,MATCH(R2,tablas!$C$3:$C$8,1)))</f>
        <v>No activa</v>
      </c>
      <c r="Y2" s="7" t="n">
        <f aca="false">IF(R2&lt;tablas!$C$3,0,INDEX(tablas!$D$3:$D$8,MATCH(R2,tablas!$C$3:$C$8,1)))*V2</f>
        <v>0</v>
      </c>
      <c r="Z2" s="4" t="str">
        <f aca="false">IF(S2&gt;=tablas!$C$3,"Activa",IF(S2&gt;=Parametros!$B$5,"Cerca","No activa"))</f>
        <v>No activa</v>
      </c>
      <c r="AA2" s="6" t="n">
        <f aca="false">MAX(0,tablas!$C$3-S2)</f>
        <v>0.566666666666667</v>
      </c>
    </row>
    <row r="3" customFormat="false" ht="15" hidden="false" customHeight="false" outlineLevel="0" collapsed="false">
      <c r="A3" s="14" t="str">
        <f aca="false">base!A3</f>
        <v>77078190-1</v>
      </c>
      <c r="B3" s="14" t="str">
        <f aca="false">base!E3</f>
        <v>Counter</v>
      </c>
      <c r="C3" s="14" t="str">
        <f aca="false">base!D3</f>
        <v>Counter</v>
      </c>
      <c r="D3" s="14" t="str">
        <f aca="false">base!F3</f>
        <v>ARACELI TARAZONA SERNAQUE</v>
      </c>
      <c r="E3" s="14" t="str">
        <f aca="false">base!G3</f>
        <v>GISELA AVELLANEDA CAMACHO</v>
      </c>
      <c r="F3" s="14" t="n">
        <f aca="false">N(base!O3)</f>
        <v>1</v>
      </c>
      <c r="G3" s="4" t="n">
        <f aca="false">SUM(base!U3:AF3)+N(base!AK3)</f>
        <v>9</v>
      </c>
      <c r="H3" s="14" t="n">
        <f aca="false">N(base!S3)</f>
        <v>21</v>
      </c>
      <c r="I3" s="6" t="n">
        <f aca="false">IFERROR(G3/H3,0)</f>
        <v>0.428571428571429</v>
      </c>
      <c r="J3" s="4" t="n">
        <f aca="false">SUM(base!AG3:AJ3)</f>
        <v>0</v>
      </c>
      <c r="K3" s="5" t="n">
        <f aca="false">IFERROR((base!AG3+base!AH3)/(base!K3+base!L3),0)</f>
        <v>0</v>
      </c>
      <c r="L3" s="5" t="n">
        <f aca="false">MAX(N(base!AI3),K3*N(base!M3))</f>
        <v>0</v>
      </c>
      <c r="M3" s="5" t="n">
        <f aca="false">MAX(N(base!AJ3),K3*N(base!N3))</f>
        <v>0</v>
      </c>
      <c r="N3" s="5" t="n">
        <f aca="false">base!AG3+base!AH3+L3+M3</f>
        <v>0</v>
      </c>
      <c r="O3" s="14" t="n">
        <f aca="false">N(base!T3)</f>
        <v>9</v>
      </c>
      <c r="P3" s="6" t="n">
        <f aca="false">IFERROR(J3/O3,0)</f>
        <v>0</v>
      </c>
      <c r="Q3" s="6" t="n">
        <f aca="false">IFERROR(N3/O3,0)</f>
        <v>0</v>
      </c>
      <c r="R3" s="6" t="n">
        <f aca="false">Parametros!$B$3*I3+Parametros!$B$4*P3</f>
        <v>0.3</v>
      </c>
      <c r="S3" s="6" t="n">
        <f aca="false">Parametros!$B$3*I3+Parametros!$B$4*Q3</f>
        <v>0.3</v>
      </c>
      <c r="T3" s="4" t="str">
        <f aca="false">IF(S3&lt;tablas!$C$3,"No activa",INDEX(tablas!$B$3:$B$8,MATCH(S3,tablas!$C$3:$C$8,1)))</f>
        <v>No activa</v>
      </c>
      <c r="U3" s="15" t="n">
        <f aca="false">IF(S3&lt;tablas!$C$3,0,INDEX(tablas!$D$3:$D$8,MATCH(S3,tablas!$C$3:$C$8,1)))</f>
        <v>0</v>
      </c>
      <c r="V3" s="16" t="n">
        <f aca="false">N(base!AQ3)</f>
        <v>1200</v>
      </c>
      <c r="W3" s="7" t="n">
        <f aca="false">U3*V3</f>
        <v>0</v>
      </c>
      <c r="X3" s="4" t="str">
        <f aca="false">IF(R3&lt;tablas!$C$3,"No activa",INDEX(tablas!$B$3:$B$8,MATCH(R3,tablas!$C$3:$C$8,1)))</f>
        <v>No activa</v>
      </c>
      <c r="Y3" s="7" t="n">
        <f aca="false">IF(R3&lt;tablas!$C$3,0,INDEX(tablas!$D$3:$D$8,MATCH(R3,tablas!$C$3:$C$8,1)))*V3</f>
        <v>0</v>
      </c>
      <c r="Z3" s="4" t="str">
        <f aca="false">IF(S3&gt;=tablas!$C$3,"Activa",IF(S3&gt;=Parametros!$B$5,"Cerca","No activa"))</f>
        <v>No activa</v>
      </c>
      <c r="AA3" s="6" t="n">
        <f aca="false">MAX(0,tablas!$C$3-S3)</f>
        <v>0.5</v>
      </c>
    </row>
    <row r="4" customFormat="false" ht="15" hidden="false" customHeight="false" outlineLevel="0" collapsed="false">
      <c r="A4" s="14" t="str">
        <f aca="false">base!A4</f>
        <v>47567126-6</v>
      </c>
      <c r="B4" s="14" t="str">
        <f aca="false">base!E4</f>
        <v>Counter</v>
      </c>
      <c r="C4" s="14" t="str">
        <f aca="false">base!D4</f>
        <v>Counter</v>
      </c>
      <c r="D4" s="14" t="str">
        <f aca="false">base!F4</f>
        <v>ARACELI TARAZONA SERNAQUE</v>
      </c>
      <c r="E4" s="14" t="str">
        <f aca="false">base!G4</f>
        <v>GISELA AVELLANEDA CAMACHO</v>
      </c>
      <c r="F4" s="14" t="n">
        <f aca="false">N(base!O4)</f>
        <v>0.5</v>
      </c>
      <c r="G4" s="4" t="n">
        <f aca="false">SUM(base!U4:AF4)+N(base!AK4)</f>
        <v>0</v>
      </c>
      <c r="H4" s="14" t="n">
        <f aca="false">N(base!S4)</f>
        <v>8</v>
      </c>
      <c r="I4" s="6" t="n">
        <f aca="false">IFERROR(G4/H4,0)</f>
        <v>0</v>
      </c>
      <c r="J4" s="4" t="n">
        <f aca="false">SUM(base!AG4:AJ4)</f>
        <v>0</v>
      </c>
      <c r="K4" s="5" t="n">
        <f aca="false">IFERROR((base!AG4+base!AH4)/(base!K4+base!L4),0)</f>
        <v>0</v>
      </c>
      <c r="L4" s="5" t="n">
        <f aca="false">MAX(N(base!AI4),K4*N(base!M4))</f>
        <v>0</v>
      </c>
      <c r="M4" s="5" t="n">
        <f aca="false">MAX(N(base!AJ4),K4*N(base!N4))</f>
        <v>0</v>
      </c>
      <c r="N4" s="5" t="n">
        <f aca="false">base!AG4+base!AH4+L4+M4</f>
        <v>0</v>
      </c>
      <c r="O4" s="14" t="n">
        <f aca="false">N(base!T4)</f>
        <v>4</v>
      </c>
      <c r="P4" s="6" t="n">
        <f aca="false">IFERROR(J4/O4,0)</f>
        <v>0</v>
      </c>
      <c r="Q4" s="6" t="n">
        <f aca="false">IFERROR(N4/O4,0)</f>
        <v>0</v>
      </c>
      <c r="R4" s="6" t="n">
        <f aca="false">Parametros!$B$3*I4+Parametros!$B$4*P4</f>
        <v>0</v>
      </c>
      <c r="S4" s="6" t="n">
        <f aca="false">Parametros!$B$3*I4+Parametros!$B$4*Q4</f>
        <v>0</v>
      </c>
      <c r="T4" s="4" t="str">
        <f aca="false">IF(S4&lt;tablas!$C$3,"No activa",INDEX(tablas!$B$3:$B$8,MATCH(S4,tablas!$C$3:$C$8,1)))</f>
        <v>No activa</v>
      </c>
      <c r="U4" s="15" t="n">
        <f aca="false">IF(S4&lt;tablas!$C$3,0,INDEX(tablas!$D$3:$D$8,MATCH(S4,tablas!$C$3:$C$8,1)))</f>
        <v>0</v>
      </c>
      <c r="V4" s="16" t="n">
        <f aca="false">N(base!AQ4)</f>
        <v>600</v>
      </c>
      <c r="W4" s="7" t="n">
        <f aca="false">U4*V4</f>
        <v>0</v>
      </c>
      <c r="X4" s="4" t="str">
        <f aca="false">IF(R4&lt;tablas!$C$3,"No activa",INDEX(tablas!$B$3:$B$8,MATCH(R4,tablas!$C$3:$C$8,1)))</f>
        <v>No activa</v>
      </c>
      <c r="Y4" s="7" t="n">
        <f aca="false">IF(R4&lt;tablas!$C$3,0,INDEX(tablas!$D$3:$D$8,MATCH(R4,tablas!$C$3:$C$8,1)))*V4</f>
        <v>0</v>
      </c>
      <c r="Z4" s="4" t="str">
        <f aca="false">IF(S4&gt;=tablas!$C$3,"Activa",IF(S4&gt;=Parametros!$B$5,"Cerca","No activa"))</f>
        <v>No activa</v>
      </c>
      <c r="AA4" s="6" t="n">
        <f aca="false">MAX(0,tablas!$C$3-S4)</f>
        <v>0.8</v>
      </c>
    </row>
    <row r="5" customFormat="false" ht="15" hidden="false" customHeight="false" outlineLevel="0" collapsed="false">
      <c r="A5" s="14" t="str">
        <f aca="false">base!A5</f>
        <v>41710085-2</v>
      </c>
      <c r="B5" s="14" t="str">
        <f aca="false">base!E5</f>
        <v>Counter</v>
      </c>
      <c r="C5" s="14" t="str">
        <f aca="false">base!D5</f>
        <v>Counter</v>
      </c>
      <c r="D5" s="14" t="str">
        <f aca="false">base!F5</f>
        <v>ARACELI TARAZONA SERNAQUE</v>
      </c>
      <c r="E5" s="14" t="str">
        <f aca="false">base!G5</f>
        <v>GISELA AVELLANEDA CAMACHO</v>
      </c>
      <c r="F5" s="14" t="n">
        <f aca="false">N(base!O5)</f>
        <v>0.545454545454545</v>
      </c>
      <c r="G5" s="4" t="n">
        <f aca="false">SUM(base!U5:AF5)+N(base!AK5)</f>
        <v>2</v>
      </c>
      <c r="H5" s="14" t="n">
        <f aca="false">N(base!S5)</f>
        <v>11</v>
      </c>
      <c r="I5" s="6" t="n">
        <f aca="false">IFERROR(G5/H5,0)</f>
        <v>0.181818181818182</v>
      </c>
      <c r="J5" s="4" t="n">
        <f aca="false">SUM(base!AG5:AJ5)</f>
        <v>3</v>
      </c>
      <c r="K5" s="5" t="n">
        <f aca="false">IFERROR((base!AG5+base!AH5)/(base!K5+base!L5),0)</f>
        <v>1.5</v>
      </c>
      <c r="L5" s="5" t="n">
        <f aca="false">MAX(N(base!AI5),K5*N(base!M5))</f>
        <v>0.272727272727273</v>
      </c>
      <c r="M5" s="5" t="n">
        <f aca="false">MAX(N(base!AJ5),K5*N(base!N5))</f>
        <v>0</v>
      </c>
      <c r="N5" s="5" t="n">
        <f aca="false">base!AG5+base!AH5+L5+M5</f>
        <v>3.27272727272727</v>
      </c>
      <c r="O5" s="14" t="n">
        <f aca="false">N(base!T5)</f>
        <v>5</v>
      </c>
      <c r="P5" s="6" t="n">
        <f aca="false">IFERROR(J5/O5,0)</f>
        <v>0.6</v>
      </c>
      <c r="Q5" s="6" t="n">
        <f aca="false">IFERROR(N5/O5,0)</f>
        <v>0.654545454545455</v>
      </c>
      <c r="R5" s="6" t="n">
        <f aca="false">Parametros!$B$3*I5+Parametros!$B$4*P5</f>
        <v>0.307272727272727</v>
      </c>
      <c r="S5" s="6" t="n">
        <f aca="false">Parametros!$B$3*I5+Parametros!$B$4*Q5</f>
        <v>0.323636363636364</v>
      </c>
      <c r="T5" s="4" t="str">
        <f aca="false">IF(S5&lt;tablas!$C$3,"No activa",INDEX(tablas!$B$3:$B$8,MATCH(S5,tablas!$C$3:$C$8,1)))</f>
        <v>No activa</v>
      </c>
      <c r="U5" s="15" t="n">
        <f aca="false">IF(S5&lt;tablas!$C$3,0,INDEX(tablas!$D$3:$D$8,MATCH(S5,tablas!$C$3:$C$8,1)))</f>
        <v>0</v>
      </c>
      <c r="V5" s="16" t="n">
        <f aca="false">N(base!AQ5)</f>
        <v>655</v>
      </c>
      <c r="W5" s="7" t="n">
        <f aca="false">U5*V5</f>
        <v>0</v>
      </c>
      <c r="X5" s="4" t="str">
        <f aca="false">IF(R5&lt;tablas!$C$3,"No activa",INDEX(tablas!$B$3:$B$8,MATCH(R5,tablas!$C$3:$C$8,1)))</f>
        <v>No activa</v>
      </c>
      <c r="Y5" s="7" t="n">
        <f aca="false">IF(R5&lt;tablas!$C$3,0,INDEX(tablas!$D$3:$D$8,MATCH(R5,tablas!$C$3:$C$8,1)))*V5</f>
        <v>0</v>
      </c>
      <c r="Z5" s="4" t="str">
        <f aca="false">IF(S5&gt;=tablas!$C$3,"Activa",IF(S5&gt;=Parametros!$B$5,"Cerca","No activa"))</f>
        <v>No activa</v>
      </c>
      <c r="AA5" s="6" t="n">
        <f aca="false">MAX(0,tablas!$C$3-S5)</f>
        <v>0.476363636363636</v>
      </c>
    </row>
    <row r="6" customFormat="false" ht="15" hidden="false" customHeight="false" outlineLevel="0" collapsed="false">
      <c r="A6" s="14" t="str">
        <f aca="false">base!A6</f>
        <v>42763046-9</v>
      </c>
      <c r="B6" s="14" t="str">
        <f aca="false">base!E6</f>
        <v>Counter</v>
      </c>
      <c r="C6" s="14" t="str">
        <f aca="false">base!D6</f>
        <v>Counter</v>
      </c>
      <c r="D6" s="14" t="str">
        <f aca="false">base!F6</f>
        <v>ARACELI TARAZONA SERNAQUE</v>
      </c>
      <c r="E6" s="14" t="str">
        <f aca="false">base!G6</f>
        <v>GISELA AVELLANEDA CAMACHO</v>
      </c>
      <c r="F6" s="14" t="n">
        <f aca="false">N(base!O6)</f>
        <v>1</v>
      </c>
      <c r="G6" s="4" t="n">
        <f aca="false">SUM(base!U6:AF6)+N(base!AK6)</f>
        <v>12</v>
      </c>
      <c r="H6" s="14" t="n">
        <f aca="false">N(base!S6)</f>
        <v>21</v>
      </c>
      <c r="I6" s="6" t="n">
        <f aca="false">IFERROR(G6/H6,0)</f>
        <v>0.571428571428571</v>
      </c>
      <c r="J6" s="4" t="n">
        <f aca="false">SUM(base!AG6:AJ6)</f>
        <v>2</v>
      </c>
      <c r="K6" s="5" t="n">
        <f aca="false">IFERROR((base!AG6+base!AH6)/(base!K6+base!L6),0)</f>
        <v>1</v>
      </c>
      <c r="L6" s="5" t="n">
        <f aca="false">MAX(N(base!AI6),K6*N(base!M6))</f>
        <v>1</v>
      </c>
      <c r="M6" s="5" t="n">
        <f aca="false">MAX(N(base!AJ6),K6*N(base!N6))</f>
        <v>1</v>
      </c>
      <c r="N6" s="5" t="n">
        <f aca="false">base!AG6+base!AH6+L6+M6</f>
        <v>4</v>
      </c>
      <c r="O6" s="14" t="n">
        <f aca="false">N(base!T6)</f>
        <v>8</v>
      </c>
      <c r="P6" s="6" t="n">
        <f aca="false">IFERROR(J6/O6,0)</f>
        <v>0.25</v>
      </c>
      <c r="Q6" s="6" t="n">
        <f aca="false">IFERROR(N6/O6,0)</f>
        <v>0.5</v>
      </c>
      <c r="R6" s="6" t="n">
        <f aca="false">Parametros!$B$3*I6+Parametros!$B$4*P6</f>
        <v>0.475</v>
      </c>
      <c r="S6" s="6" t="n">
        <f aca="false">Parametros!$B$3*I6+Parametros!$B$4*Q6</f>
        <v>0.55</v>
      </c>
      <c r="T6" s="4" t="str">
        <f aca="false">IF(S6&lt;tablas!$C$3,"No activa",INDEX(tablas!$B$3:$B$8,MATCH(S6,tablas!$C$3:$C$8,1)))</f>
        <v>No activa</v>
      </c>
      <c r="U6" s="15" t="n">
        <f aca="false">IF(S6&lt;tablas!$C$3,0,INDEX(tablas!$D$3:$D$8,MATCH(S6,tablas!$C$3:$C$8,1)))</f>
        <v>0</v>
      </c>
      <c r="V6" s="16" t="n">
        <f aca="false">N(base!AQ6)</f>
        <v>1200</v>
      </c>
      <c r="W6" s="7" t="n">
        <f aca="false">U6*V6</f>
        <v>0</v>
      </c>
      <c r="X6" s="4" t="str">
        <f aca="false">IF(R6&lt;tablas!$C$3,"No activa",INDEX(tablas!$B$3:$B$8,MATCH(R6,tablas!$C$3:$C$8,1)))</f>
        <v>No activa</v>
      </c>
      <c r="Y6" s="7" t="n">
        <f aca="false">IF(R6&lt;tablas!$C$3,0,INDEX(tablas!$D$3:$D$8,MATCH(R6,tablas!$C$3:$C$8,1)))*V6</f>
        <v>0</v>
      </c>
      <c r="Z6" s="4" t="str">
        <f aca="false">IF(S6&gt;=tablas!$C$3,"Activa",IF(S6&gt;=Parametros!$B$5,"Cerca","No activa"))</f>
        <v>No activa</v>
      </c>
      <c r="AA6" s="6" t="n">
        <f aca="false">MAX(0,tablas!$C$3-S6)</f>
        <v>0.25</v>
      </c>
    </row>
    <row r="7" customFormat="false" ht="15" hidden="false" customHeight="false" outlineLevel="0" collapsed="false">
      <c r="A7" s="14" t="str">
        <f aca="false">base!A7</f>
        <v>41907916-8</v>
      </c>
      <c r="B7" s="14" t="str">
        <f aca="false">base!E7</f>
        <v>Counter</v>
      </c>
      <c r="C7" s="14" t="str">
        <f aca="false">base!D7</f>
        <v>Counter</v>
      </c>
      <c r="D7" s="14" t="str">
        <f aca="false">base!F7</f>
        <v>ARACELI TARAZONA SERNAQUE</v>
      </c>
      <c r="E7" s="14" t="str">
        <f aca="false">base!G7</f>
        <v>GISELA AVELLANEDA CAMACHO</v>
      </c>
      <c r="F7" s="14" t="n">
        <f aca="false">N(base!O7)</f>
        <v>1</v>
      </c>
      <c r="G7" s="4" t="n">
        <f aca="false">SUM(base!U7:AF7)+N(base!AK7)</f>
        <v>0</v>
      </c>
      <c r="H7" s="14" t="n">
        <f aca="false">N(base!S7)</f>
        <v>15</v>
      </c>
      <c r="I7" s="6" t="n">
        <f aca="false">IFERROR(G7/H7,0)</f>
        <v>0</v>
      </c>
      <c r="J7" s="4" t="n">
        <f aca="false">SUM(base!AG7:AJ7)</f>
        <v>1</v>
      </c>
      <c r="K7" s="5" t="n">
        <f aca="false">IFERROR((base!AG7+base!AH7)/(base!K7+base!L7),0)</f>
        <v>0.5</v>
      </c>
      <c r="L7" s="5" t="n">
        <f aca="false">MAX(N(base!AI7),K7*N(base!M7))</f>
        <v>0.5</v>
      </c>
      <c r="M7" s="5" t="n">
        <f aca="false">MAX(N(base!AJ7),K7*N(base!N7))</f>
        <v>0.5</v>
      </c>
      <c r="N7" s="5" t="n">
        <f aca="false">base!AG7+base!AH7+L7+M7</f>
        <v>2</v>
      </c>
      <c r="O7" s="14" t="n">
        <f aca="false">N(base!T7)</f>
        <v>6</v>
      </c>
      <c r="P7" s="6" t="n">
        <f aca="false">IFERROR(J7/O7,0)</f>
        <v>0.166666666666667</v>
      </c>
      <c r="Q7" s="6" t="n">
        <f aca="false">IFERROR(N7/O7,0)</f>
        <v>0.333333333333333</v>
      </c>
      <c r="R7" s="6" t="n">
        <f aca="false">Parametros!$B$3*I7+Parametros!$B$4*P7</f>
        <v>0.05</v>
      </c>
      <c r="S7" s="6" t="n">
        <f aca="false">Parametros!$B$3*I7+Parametros!$B$4*Q7</f>
        <v>0.1</v>
      </c>
      <c r="T7" s="4" t="str">
        <f aca="false">IF(S7&lt;tablas!$C$3,"No activa",INDEX(tablas!$B$3:$B$8,MATCH(S7,tablas!$C$3:$C$8,1)))</f>
        <v>No activa</v>
      </c>
      <c r="U7" s="15" t="n">
        <f aca="false">IF(S7&lt;tablas!$C$3,0,INDEX(tablas!$D$3:$D$8,MATCH(S7,tablas!$C$3:$C$8,1)))</f>
        <v>0</v>
      </c>
      <c r="V7" s="16" t="n">
        <f aca="false">N(base!AQ7)</f>
        <v>1200</v>
      </c>
      <c r="W7" s="7" t="n">
        <f aca="false">U7*V7</f>
        <v>0</v>
      </c>
      <c r="X7" s="4" t="str">
        <f aca="false">IF(R7&lt;tablas!$C$3,"No activa",INDEX(tablas!$B$3:$B$8,MATCH(R7,tablas!$C$3:$C$8,1)))</f>
        <v>No activa</v>
      </c>
      <c r="Y7" s="7" t="n">
        <f aca="false">IF(R7&lt;tablas!$C$3,0,INDEX(tablas!$D$3:$D$8,MATCH(R7,tablas!$C$3:$C$8,1)))*V7</f>
        <v>0</v>
      </c>
      <c r="Z7" s="4" t="str">
        <f aca="false">IF(S7&gt;=tablas!$C$3,"Activa",IF(S7&gt;=Parametros!$B$5,"Cerca","No activa"))</f>
        <v>No activa</v>
      </c>
      <c r="AA7" s="6" t="n">
        <f aca="false">MAX(0,tablas!$C$3-S7)</f>
        <v>0.7</v>
      </c>
    </row>
    <row r="8" customFormat="false" ht="15" hidden="false" customHeight="false" outlineLevel="0" collapsed="false">
      <c r="A8" s="14" t="str">
        <f aca="false">base!A8</f>
        <v>46569779-8</v>
      </c>
      <c r="B8" s="14" t="str">
        <f aca="false">base!E8</f>
        <v>Counter</v>
      </c>
      <c r="C8" s="14" t="str">
        <f aca="false">base!D8</f>
        <v>Counter</v>
      </c>
      <c r="D8" s="14" t="str">
        <f aca="false">base!F8</f>
        <v>ARACELI TARAZONA SERNAQUE</v>
      </c>
      <c r="E8" s="14" t="str">
        <f aca="false">base!G8</f>
        <v>GISELA AVELLANEDA CAMACHO</v>
      </c>
      <c r="F8" s="14" t="n">
        <f aca="false">N(base!O8)</f>
        <v>0.454545454545455</v>
      </c>
      <c r="G8" s="4" t="n">
        <f aca="false">SUM(base!U8:AF8)+N(base!AK8)</f>
        <v>0</v>
      </c>
      <c r="H8" s="14" t="n">
        <f aca="false">N(base!S8)</f>
        <v>10</v>
      </c>
      <c r="I8" s="6" t="n">
        <f aca="false">IFERROR(G8/H8,0)</f>
        <v>0</v>
      </c>
      <c r="J8" s="4" t="n">
        <f aca="false">SUM(base!AG8:AJ8)</f>
        <v>0</v>
      </c>
      <c r="K8" s="5" t="n">
        <f aca="false">IFERROR((base!AG8+base!AH8)/(base!K8+base!L8),0)</f>
        <v>0</v>
      </c>
      <c r="L8" s="5" t="n">
        <f aca="false">MAX(N(base!AI8),K8*N(base!M8))</f>
        <v>0</v>
      </c>
      <c r="M8" s="5" t="n">
        <f aca="false">MAX(N(base!AJ8),K8*N(base!N8))</f>
        <v>0</v>
      </c>
      <c r="N8" s="5" t="n">
        <f aca="false">base!AG8+base!AH8+L8+M8</f>
        <v>0</v>
      </c>
      <c r="O8" s="14" t="n">
        <f aca="false">N(base!T8)</f>
        <v>3</v>
      </c>
      <c r="P8" s="6" t="n">
        <f aca="false">IFERROR(J8/O8,0)</f>
        <v>0</v>
      </c>
      <c r="Q8" s="6" t="n">
        <f aca="false">IFERROR(N8/O8,0)</f>
        <v>0</v>
      </c>
      <c r="R8" s="6" t="n">
        <f aca="false">Parametros!$B$3*I8+Parametros!$B$4*P8</f>
        <v>0</v>
      </c>
      <c r="S8" s="6" t="n">
        <f aca="false">Parametros!$B$3*I8+Parametros!$B$4*Q8</f>
        <v>0</v>
      </c>
      <c r="T8" s="4" t="str">
        <f aca="false">IF(S8&lt;tablas!$C$3,"No activa",INDEX(tablas!$B$3:$B$8,MATCH(S8,tablas!$C$3:$C$8,1)))</f>
        <v>No activa</v>
      </c>
      <c r="U8" s="15" t="n">
        <f aca="false">IF(S8&lt;tablas!$C$3,0,INDEX(tablas!$D$3:$D$8,MATCH(S8,tablas!$C$3:$C$8,1)))</f>
        <v>0</v>
      </c>
      <c r="V8" s="16" t="n">
        <f aca="false">N(base!AQ8)</f>
        <v>545</v>
      </c>
      <c r="W8" s="7" t="n">
        <f aca="false">U8*V8</f>
        <v>0</v>
      </c>
      <c r="X8" s="4" t="str">
        <f aca="false">IF(R8&lt;tablas!$C$3,"No activa",INDEX(tablas!$B$3:$B$8,MATCH(R8,tablas!$C$3:$C$8,1)))</f>
        <v>No activa</v>
      </c>
      <c r="Y8" s="7" t="n">
        <f aca="false">IF(R8&lt;tablas!$C$3,0,INDEX(tablas!$D$3:$D$8,MATCH(R8,tablas!$C$3:$C$8,1)))*V8</f>
        <v>0</v>
      </c>
      <c r="Z8" s="4" t="str">
        <f aca="false">IF(S8&gt;=tablas!$C$3,"Activa",IF(S8&gt;=Parametros!$B$5,"Cerca","No activa"))</f>
        <v>No activa</v>
      </c>
      <c r="AA8" s="6" t="n">
        <f aca="false">MAX(0,tablas!$C$3-S8)</f>
        <v>0.8</v>
      </c>
    </row>
    <row r="9" customFormat="false" ht="15" hidden="false" customHeight="false" outlineLevel="0" collapsed="false">
      <c r="A9" s="14" t="str">
        <f aca="false">base!A9</f>
        <v>46349775-9</v>
      </c>
      <c r="B9" s="14" t="str">
        <f aca="false">base!E9</f>
        <v>Counter</v>
      </c>
      <c r="C9" s="14" t="str">
        <f aca="false">base!D9</f>
        <v>Counter</v>
      </c>
      <c r="D9" s="14" t="str">
        <f aca="false">base!F9</f>
        <v>ARACELI TARAZONA SERNAQUE</v>
      </c>
      <c r="E9" s="14" t="str">
        <f aca="false">base!G9</f>
        <v>GISELA AVELLANEDA CAMACHO</v>
      </c>
      <c r="F9" s="14" t="n">
        <f aca="false">N(base!O9)</f>
        <v>0.5</v>
      </c>
      <c r="G9" s="4" t="n">
        <f aca="false">SUM(base!U9:AF9)+N(base!AK9)</f>
        <v>5</v>
      </c>
      <c r="H9" s="14" t="n">
        <f aca="false">N(base!S9)</f>
        <v>8</v>
      </c>
      <c r="I9" s="6" t="n">
        <f aca="false">IFERROR(G9/H9,0)</f>
        <v>0.625</v>
      </c>
      <c r="J9" s="4" t="n">
        <f aca="false">SUM(base!AG9:AJ9)</f>
        <v>0</v>
      </c>
      <c r="K9" s="5" t="n">
        <f aca="false">IFERROR((base!AG9+base!AH9)/(base!K9+base!L9),0)</f>
        <v>0</v>
      </c>
      <c r="L9" s="5" t="n">
        <f aca="false">MAX(N(base!AI9),K9*N(base!M9))</f>
        <v>0</v>
      </c>
      <c r="M9" s="5" t="n">
        <f aca="false">MAX(N(base!AJ9),K9*N(base!N9))</f>
        <v>0</v>
      </c>
      <c r="N9" s="5" t="n">
        <f aca="false">base!AG9+base!AH9+L9+M9</f>
        <v>0</v>
      </c>
      <c r="O9" s="14" t="n">
        <f aca="false">N(base!T9)</f>
        <v>3</v>
      </c>
      <c r="P9" s="6" t="n">
        <f aca="false">IFERROR(J9/O9,0)</f>
        <v>0</v>
      </c>
      <c r="Q9" s="6" t="n">
        <f aca="false">IFERROR(N9/O9,0)</f>
        <v>0</v>
      </c>
      <c r="R9" s="6" t="n">
        <f aca="false">Parametros!$B$3*I9+Parametros!$B$4*P9</f>
        <v>0.4375</v>
      </c>
      <c r="S9" s="6" t="n">
        <f aca="false">Parametros!$B$3*I9+Parametros!$B$4*Q9</f>
        <v>0.4375</v>
      </c>
      <c r="T9" s="4" t="str">
        <f aca="false">IF(S9&lt;tablas!$C$3,"No activa",INDEX(tablas!$B$3:$B$8,MATCH(S9,tablas!$C$3:$C$8,1)))</f>
        <v>No activa</v>
      </c>
      <c r="U9" s="15" t="n">
        <f aca="false">IF(S9&lt;tablas!$C$3,0,INDEX(tablas!$D$3:$D$8,MATCH(S9,tablas!$C$3:$C$8,1)))</f>
        <v>0</v>
      </c>
      <c r="V9" s="16" t="n">
        <f aca="false">N(base!AQ9)</f>
        <v>600</v>
      </c>
      <c r="W9" s="7" t="n">
        <f aca="false">U9*V9</f>
        <v>0</v>
      </c>
      <c r="X9" s="4" t="str">
        <f aca="false">IF(R9&lt;tablas!$C$3,"No activa",INDEX(tablas!$B$3:$B$8,MATCH(R9,tablas!$C$3:$C$8,1)))</f>
        <v>No activa</v>
      </c>
      <c r="Y9" s="7" t="n">
        <f aca="false">IF(R9&lt;tablas!$C$3,0,INDEX(tablas!$D$3:$D$8,MATCH(R9,tablas!$C$3:$C$8,1)))*V9</f>
        <v>0</v>
      </c>
      <c r="Z9" s="4" t="str">
        <f aca="false">IF(S9&gt;=tablas!$C$3,"Activa",IF(S9&gt;=Parametros!$B$5,"Cerca","No activa"))</f>
        <v>No activa</v>
      </c>
      <c r="AA9" s="6" t="n">
        <f aca="false">MAX(0,tablas!$C$3-S9)</f>
        <v>0.3625</v>
      </c>
    </row>
    <row r="10" customFormat="false" ht="15" hidden="false" customHeight="false" outlineLevel="0" collapsed="false">
      <c r="A10" s="14" t="str">
        <f aca="false">base!A10</f>
        <v>25831501-0</v>
      </c>
      <c r="B10" s="14" t="str">
        <f aca="false">base!E10</f>
        <v>Counter</v>
      </c>
      <c r="C10" s="14" t="str">
        <f aca="false">base!D10</f>
        <v>Counter</v>
      </c>
      <c r="D10" s="14" t="str">
        <f aca="false">base!F10</f>
        <v>JENNY ALEJANDRA DE LA CRUZ FLORES</v>
      </c>
      <c r="E10" s="14" t="str">
        <f aca="false">base!G10</f>
        <v>GISELA AVELLANEDA CAMACHO</v>
      </c>
      <c r="F10" s="14" t="n">
        <f aca="false">N(base!O10)</f>
        <v>0.454545454545455</v>
      </c>
      <c r="G10" s="4" t="n">
        <f aca="false">SUM(base!U10:AF10)+N(base!AK10)</f>
        <v>0</v>
      </c>
      <c r="H10" s="14" t="n">
        <f aca="false">N(base!S10)</f>
        <v>10</v>
      </c>
      <c r="I10" s="6" t="n">
        <f aca="false">IFERROR(G10/H10,0)</f>
        <v>0</v>
      </c>
      <c r="J10" s="4" t="n">
        <f aca="false">SUM(base!AG10:AJ10)</f>
        <v>0</v>
      </c>
      <c r="K10" s="5" t="n">
        <f aca="false">IFERROR((base!AG10+base!AH10)/(base!K10+base!L10),0)</f>
        <v>0</v>
      </c>
      <c r="L10" s="5" t="n">
        <f aca="false">MAX(N(base!AI10),K10*N(base!M10))</f>
        <v>0</v>
      </c>
      <c r="M10" s="5" t="n">
        <f aca="false">MAX(N(base!AJ10),K10*N(base!N10))</f>
        <v>0</v>
      </c>
      <c r="N10" s="5" t="n">
        <f aca="false">base!AG10+base!AH10+L10+M10</f>
        <v>0</v>
      </c>
      <c r="O10" s="14" t="n">
        <f aca="false">N(base!T10)</f>
        <v>4</v>
      </c>
      <c r="P10" s="6" t="n">
        <f aca="false">IFERROR(J10/O10,0)</f>
        <v>0</v>
      </c>
      <c r="Q10" s="6" t="n">
        <f aca="false">IFERROR(N10/O10,0)</f>
        <v>0</v>
      </c>
      <c r="R10" s="6" t="n">
        <f aca="false">Parametros!$B$3*I10+Parametros!$B$4*P10</f>
        <v>0</v>
      </c>
      <c r="S10" s="6" t="n">
        <f aca="false">Parametros!$B$3*I10+Parametros!$B$4*Q10</f>
        <v>0</v>
      </c>
      <c r="T10" s="4" t="str">
        <f aca="false">IF(S10&lt;tablas!$C$3,"No activa",INDEX(tablas!$B$3:$B$8,MATCH(S10,tablas!$C$3:$C$8,1)))</f>
        <v>No activa</v>
      </c>
      <c r="U10" s="15" t="n">
        <f aca="false">IF(S10&lt;tablas!$C$3,0,INDEX(tablas!$D$3:$D$8,MATCH(S10,tablas!$C$3:$C$8,1)))</f>
        <v>0</v>
      </c>
      <c r="V10" s="16" t="n">
        <f aca="false">N(base!AQ10)</f>
        <v>545</v>
      </c>
      <c r="W10" s="7" t="n">
        <f aca="false">U10*V10</f>
        <v>0</v>
      </c>
      <c r="X10" s="4" t="str">
        <f aca="false">IF(R10&lt;tablas!$C$3,"No activa",INDEX(tablas!$B$3:$B$8,MATCH(R10,tablas!$C$3:$C$8,1)))</f>
        <v>No activa</v>
      </c>
      <c r="Y10" s="7" t="n">
        <f aca="false">IF(R10&lt;tablas!$C$3,0,INDEX(tablas!$D$3:$D$8,MATCH(R10,tablas!$C$3:$C$8,1)))*V10</f>
        <v>0</v>
      </c>
      <c r="Z10" s="4" t="str">
        <f aca="false">IF(S10&gt;=tablas!$C$3,"Activa",IF(S10&gt;=Parametros!$B$5,"Cerca","No activa"))</f>
        <v>No activa</v>
      </c>
      <c r="AA10" s="6" t="n">
        <f aca="false">MAX(0,tablas!$C$3-S10)</f>
        <v>0.8</v>
      </c>
    </row>
    <row r="11" customFormat="false" ht="15" hidden="false" customHeight="false" outlineLevel="0" collapsed="false">
      <c r="A11" s="14" t="str">
        <f aca="false">base!A11</f>
        <v>45172927-1</v>
      </c>
      <c r="B11" s="14" t="str">
        <f aca="false">base!E11</f>
        <v>Counter</v>
      </c>
      <c r="C11" s="14" t="str">
        <f aca="false">base!D11</f>
        <v>Counter</v>
      </c>
      <c r="D11" s="14" t="str">
        <f aca="false">base!F11</f>
        <v>JENNY ALEJANDRA DE LA CRUZ FLORES</v>
      </c>
      <c r="E11" s="14" t="str">
        <f aca="false">base!G11</f>
        <v>GISELA AVELLANEDA CAMACHO</v>
      </c>
      <c r="F11" s="14" t="n">
        <f aca="false">N(base!O11)</f>
        <v>1</v>
      </c>
      <c r="G11" s="4" t="n">
        <f aca="false">SUM(base!U11:AF11)+N(base!AK11)</f>
        <v>3</v>
      </c>
      <c r="H11" s="14" t="n">
        <f aca="false">N(base!S11)</f>
        <v>17</v>
      </c>
      <c r="I11" s="6" t="n">
        <f aca="false">IFERROR(G11/H11,0)</f>
        <v>0.176470588235294</v>
      </c>
      <c r="J11" s="4" t="n">
        <f aca="false">SUM(base!AG11:AJ11)</f>
        <v>2</v>
      </c>
      <c r="K11" s="5" t="n">
        <f aca="false">IFERROR((base!AG11+base!AH11)/(base!K11+base!L11),0)</f>
        <v>1</v>
      </c>
      <c r="L11" s="5" t="n">
        <f aca="false">MAX(N(base!AI11),K11*N(base!M11))</f>
        <v>1</v>
      </c>
      <c r="M11" s="5" t="n">
        <f aca="false">MAX(N(base!AJ11),K11*N(base!N11))</f>
        <v>1</v>
      </c>
      <c r="N11" s="5" t="n">
        <f aca="false">base!AG11+base!AH11+L11+M11</f>
        <v>4</v>
      </c>
      <c r="O11" s="14" t="n">
        <f aca="false">N(base!T11)</f>
        <v>5</v>
      </c>
      <c r="P11" s="6" t="n">
        <f aca="false">IFERROR(J11/O11,0)</f>
        <v>0.4</v>
      </c>
      <c r="Q11" s="6" t="n">
        <f aca="false">IFERROR(N11/O11,0)</f>
        <v>0.8</v>
      </c>
      <c r="R11" s="6" t="n">
        <f aca="false">Parametros!$B$3*I11+Parametros!$B$4*P11</f>
        <v>0.243529411764706</v>
      </c>
      <c r="S11" s="6" t="n">
        <f aca="false">Parametros!$B$3*I11+Parametros!$B$4*Q11</f>
        <v>0.363529411764706</v>
      </c>
      <c r="T11" s="4" t="str">
        <f aca="false">IF(S11&lt;tablas!$C$3,"No activa",INDEX(tablas!$B$3:$B$8,MATCH(S11,tablas!$C$3:$C$8,1)))</f>
        <v>No activa</v>
      </c>
      <c r="U11" s="15" t="n">
        <f aca="false">IF(S11&lt;tablas!$C$3,0,INDEX(tablas!$D$3:$D$8,MATCH(S11,tablas!$C$3:$C$8,1)))</f>
        <v>0</v>
      </c>
      <c r="V11" s="16" t="n">
        <f aca="false">N(base!AQ11)</f>
        <v>1200</v>
      </c>
      <c r="W11" s="7" t="n">
        <f aca="false">U11*V11</f>
        <v>0</v>
      </c>
      <c r="X11" s="4" t="str">
        <f aca="false">IF(R11&lt;tablas!$C$3,"No activa",INDEX(tablas!$B$3:$B$8,MATCH(R11,tablas!$C$3:$C$8,1)))</f>
        <v>No activa</v>
      </c>
      <c r="Y11" s="7" t="n">
        <f aca="false">IF(R11&lt;tablas!$C$3,0,INDEX(tablas!$D$3:$D$8,MATCH(R11,tablas!$C$3:$C$8,1)))*V11</f>
        <v>0</v>
      </c>
      <c r="Z11" s="4" t="str">
        <f aca="false">IF(S11&gt;=tablas!$C$3,"Activa",IF(S11&gt;=Parametros!$B$5,"Cerca","No activa"))</f>
        <v>No activa</v>
      </c>
      <c r="AA11" s="6" t="n">
        <f aca="false">MAX(0,tablas!$C$3-S11)</f>
        <v>0.436470588235294</v>
      </c>
    </row>
    <row r="12" customFormat="false" ht="15" hidden="false" customHeight="false" outlineLevel="0" collapsed="false">
      <c r="A12" s="14" t="str">
        <f aca="false">base!A12</f>
        <v>70862248-1</v>
      </c>
      <c r="B12" s="14" t="str">
        <f aca="false">base!E12</f>
        <v>Counter</v>
      </c>
      <c r="C12" s="14" t="str">
        <f aca="false">base!D12</f>
        <v>Counter</v>
      </c>
      <c r="D12" s="14" t="str">
        <f aca="false">base!F12</f>
        <v>JENNY ALEJANDRA DE LA CRUZ FLORES</v>
      </c>
      <c r="E12" s="14" t="str">
        <f aca="false">base!G12</f>
        <v>GISELA AVELLANEDA CAMACHO</v>
      </c>
      <c r="F12" s="14" t="n">
        <f aca="false">N(base!O12)</f>
        <v>0.545454545454545</v>
      </c>
      <c r="G12" s="4" t="n">
        <f aca="false">SUM(base!U12:AF12)+N(base!AK12)</f>
        <v>4</v>
      </c>
      <c r="H12" s="14" t="n">
        <f aca="false">N(base!S12)</f>
        <v>12</v>
      </c>
      <c r="I12" s="6" t="n">
        <f aca="false">IFERROR(G12/H12,0)</f>
        <v>0.333333333333333</v>
      </c>
      <c r="J12" s="4" t="n">
        <f aca="false">SUM(base!AG12:AJ12)</f>
        <v>5</v>
      </c>
      <c r="K12" s="5" t="n">
        <f aca="false">IFERROR((base!AG12+base!AH12)/(base!K12+base!L12),0)</f>
        <v>2.5</v>
      </c>
      <c r="L12" s="5" t="n">
        <f aca="false">MAX(N(base!AI12),K12*N(base!M12))</f>
        <v>0.454545454545455</v>
      </c>
      <c r="M12" s="5" t="n">
        <f aca="false">MAX(N(base!AJ12),K12*N(base!N12))</f>
        <v>0</v>
      </c>
      <c r="N12" s="5" t="n">
        <f aca="false">base!AG12+base!AH12+L12+M12</f>
        <v>5.45454545454545</v>
      </c>
      <c r="O12" s="14" t="n">
        <f aca="false">N(base!T12)</f>
        <v>3</v>
      </c>
      <c r="P12" s="6" t="n">
        <f aca="false">IFERROR(J12/O12,0)</f>
        <v>1.66666666666667</v>
      </c>
      <c r="Q12" s="6" t="n">
        <f aca="false">IFERROR(N12/O12,0)</f>
        <v>1.81818181818182</v>
      </c>
      <c r="R12" s="6" t="n">
        <f aca="false">Parametros!$B$3*I12+Parametros!$B$4*P12</f>
        <v>0.733333333333333</v>
      </c>
      <c r="S12" s="6" t="n">
        <f aca="false">Parametros!$B$3*I12+Parametros!$B$4*Q12</f>
        <v>0.778787878787879</v>
      </c>
      <c r="T12" s="4" t="str">
        <f aca="false">IF(S12&lt;tablas!$C$3,"No activa",INDEX(tablas!$B$3:$B$8,MATCH(S12,tablas!$C$3:$C$8,1)))</f>
        <v>No activa</v>
      </c>
      <c r="U12" s="15" t="n">
        <f aca="false">IF(S12&lt;tablas!$C$3,0,INDEX(tablas!$D$3:$D$8,MATCH(S12,tablas!$C$3:$C$8,1)))</f>
        <v>0</v>
      </c>
      <c r="V12" s="16" t="n">
        <f aca="false">N(base!AQ12)</f>
        <v>655</v>
      </c>
      <c r="W12" s="7" t="n">
        <f aca="false">U12*V12</f>
        <v>0</v>
      </c>
      <c r="X12" s="4" t="str">
        <f aca="false">IF(R12&lt;tablas!$C$3,"No activa",INDEX(tablas!$B$3:$B$8,MATCH(R12,tablas!$C$3:$C$8,1)))</f>
        <v>No activa</v>
      </c>
      <c r="Y12" s="7" t="n">
        <f aca="false">IF(R12&lt;tablas!$C$3,0,INDEX(tablas!$D$3:$D$8,MATCH(R12,tablas!$C$3:$C$8,1)))*V12</f>
        <v>0</v>
      </c>
      <c r="Z12" s="4" t="str">
        <f aca="false">IF(S12&gt;=tablas!$C$3,"Activa",IF(S12&gt;=Parametros!$B$5,"Cerca","No activa"))</f>
        <v>Cerca</v>
      </c>
      <c r="AA12" s="6" t="n">
        <f aca="false">MAX(0,tablas!$C$3-S12)</f>
        <v>0.0212121212121214</v>
      </c>
    </row>
    <row r="13" customFormat="false" ht="15" hidden="false" customHeight="false" outlineLevel="0" collapsed="false">
      <c r="A13" s="14" t="str">
        <f aca="false">base!A13</f>
        <v>46824537-5</v>
      </c>
      <c r="B13" s="14" t="str">
        <f aca="false">base!E13</f>
        <v>Counter</v>
      </c>
      <c r="C13" s="14" t="str">
        <f aca="false">base!D13</f>
        <v>Counter</v>
      </c>
      <c r="D13" s="14" t="str">
        <f aca="false">base!F13</f>
        <v>JENNY ALEJANDRA DE LA CRUZ FLORES</v>
      </c>
      <c r="E13" s="14" t="str">
        <f aca="false">base!G13</f>
        <v>GISELA AVELLANEDA CAMACHO</v>
      </c>
      <c r="F13" s="14" t="n">
        <f aca="false">N(base!O13)</f>
        <v>0.545454545454545</v>
      </c>
      <c r="G13" s="4" t="n">
        <f aca="false">SUM(base!U13:AF13)+N(base!AK13)</f>
        <v>0</v>
      </c>
      <c r="H13" s="14" t="n">
        <f aca="false">N(base!S13)</f>
        <v>9</v>
      </c>
      <c r="I13" s="6" t="n">
        <f aca="false">IFERROR(G13/H13,0)</f>
        <v>0</v>
      </c>
      <c r="J13" s="4" t="n">
        <f aca="false">SUM(base!AG13:AJ13)</f>
        <v>2</v>
      </c>
      <c r="K13" s="5" t="n">
        <f aca="false">IFERROR((base!AG13+base!AH13)/(base!K13+base!L13),0)</f>
        <v>1</v>
      </c>
      <c r="L13" s="5" t="n">
        <f aca="false">MAX(N(base!AI13),K13*N(base!M13))</f>
        <v>0.181818181818182</v>
      </c>
      <c r="M13" s="5" t="n">
        <f aca="false">MAX(N(base!AJ13),K13*N(base!N13))</f>
        <v>0</v>
      </c>
      <c r="N13" s="5" t="n">
        <f aca="false">base!AG13+base!AH13+L13+M13</f>
        <v>2.18181818181818</v>
      </c>
      <c r="O13" s="14" t="n">
        <f aca="false">N(base!T13)</f>
        <v>4</v>
      </c>
      <c r="P13" s="6" t="n">
        <f aca="false">IFERROR(J13/O13,0)</f>
        <v>0.5</v>
      </c>
      <c r="Q13" s="6" t="n">
        <f aca="false">IFERROR(N13/O13,0)</f>
        <v>0.545454545454545</v>
      </c>
      <c r="R13" s="6" t="n">
        <f aca="false">Parametros!$B$3*I13+Parametros!$B$4*P13</f>
        <v>0.15</v>
      </c>
      <c r="S13" s="6" t="n">
        <f aca="false">Parametros!$B$3*I13+Parametros!$B$4*Q13</f>
        <v>0.163636363636364</v>
      </c>
      <c r="T13" s="4" t="str">
        <f aca="false">IF(S13&lt;tablas!$C$3,"No activa",INDEX(tablas!$B$3:$B$8,MATCH(S13,tablas!$C$3:$C$8,1)))</f>
        <v>No activa</v>
      </c>
      <c r="U13" s="15" t="n">
        <f aca="false">IF(S13&lt;tablas!$C$3,0,INDEX(tablas!$D$3:$D$8,MATCH(S13,tablas!$C$3:$C$8,1)))</f>
        <v>0</v>
      </c>
      <c r="V13" s="16" t="n">
        <f aca="false">N(base!AQ13)</f>
        <v>655</v>
      </c>
      <c r="W13" s="7" t="n">
        <f aca="false">U13*V13</f>
        <v>0</v>
      </c>
      <c r="X13" s="4" t="str">
        <f aca="false">IF(R13&lt;tablas!$C$3,"No activa",INDEX(tablas!$B$3:$B$8,MATCH(R13,tablas!$C$3:$C$8,1)))</f>
        <v>No activa</v>
      </c>
      <c r="Y13" s="7" t="n">
        <f aca="false">IF(R13&lt;tablas!$C$3,0,INDEX(tablas!$D$3:$D$8,MATCH(R13,tablas!$C$3:$C$8,1)))*V13</f>
        <v>0</v>
      </c>
      <c r="Z13" s="4" t="str">
        <f aca="false">IF(S13&gt;=tablas!$C$3,"Activa",IF(S13&gt;=Parametros!$B$5,"Cerca","No activa"))</f>
        <v>No activa</v>
      </c>
      <c r="AA13" s="6" t="n">
        <f aca="false">MAX(0,tablas!$C$3-S13)</f>
        <v>0.636363636363637</v>
      </c>
    </row>
    <row r="14" customFormat="false" ht="15" hidden="false" customHeight="false" outlineLevel="0" collapsed="false">
      <c r="A14" s="14" t="str">
        <f aca="false">base!A14</f>
        <v>74948966-4</v>
      </c>
      <c r="B14" s="14" t="str">
        <f aca="false">base!E14</f>
        <v>Counter</v>
      </c>
      <c r="C14" s="14" t="str">
        <f aca="false">base!D14</f>
        <v>Counter</v>
      </c>
      <c r="D14" s="14" t="str">
        <f aca="false">base!F14</f>
        <v>JENNY ALEJANDRA DE LA CRUZ FLORES</v>
      </c>
      <c r="E14" s="14" t="str">
        <f aca="false">base!G14</f>
        <v>GISELA AVELLANEDA CAMACHO</v>
      </c>
      <c r="F14" s="14" t="n">
        <f aca="false">N(base!O14)</f>
        <v>1</v>
      </c>
      <c r="G14" s="4" t="n">
        <f aca="false">SUM(base!U14:AF14)+N(base!AK14)</f>
        <v>13</v>
      </c>
      <c r="H14" s="14" t="n">
        <f aca="false">N(base!S14)</f>
        <v>22</v>
      </c>
      <c r="I14" s="6" t="n">
        <f aca="false">IFERROR(G14/H14,0)</f>
        <v>0.590909090909091</v>
      </c>
      <c r="J14" s="4" t="n">
        <f aca="false">SUM(base!AG14:AJ14)</f>
        <v>3</v>
      </c>
      <c r="K14" s="5" t="n">
        <f aca="false">IFERROR((base!AG14+base!AH14)/(base!K14+base!L14),0)</f>
        <v>1.5</v>
      </c>
      <c r="L14" s="5" t="n">
        <f aca="false">MAX(N(base!AI14),K14*N(base!M14))</f>
        <v>1.5</v>
      </c>
      <c r="M14" s="5" t="n">
        <f aca="false">MAX(N(base!AJ14),K14*N(base!N14))</f>
        <v>1.5</v>
      </c>
      <c r="N14" s="5" t="n">
        <f aca="false">base!AG14+base!AH14+L14+M14</f>
        <v>6</v>
      </c>
      <c r="O14" s="14" t="n">
        <f aca="false">N(base!T14)</f>
        <v>8</v>
      </c>
      <c r="P14" s="6" t="n">
        <f aca="false">IFERROR(J14/O14,0)</f>
        <v>0.375</v>
      </c>
      <c r="Q14" s="6" t="n">
        <f aca="false">IFERROR(N14/O14,0)</f>
        <v>0.75</v>
      </c>
      <c r="R14" s="6" t="n">
        <f aca="false">Parametros!$B$3*I14+Parametros!$B$4*P14</f>
        <v>0.526136363636364</v>
      </c>
      <c r="S14" s="6" t="n">
        <f aca="false">Parametros!$B$3*I14+Parametros!$B$4*Q14</f>
        <v>0.638636363636364</v>
      </c>
      <c r="T14" s="4" t="str">
        <f aca="false">IF(S14&lt;tablas!$C$3,"No activa",INDEX(tablas!$B$3:$B$8,MATCH(S14,tablas!$C$3:$C$8,1)))</f>
        <v>No activa</v>
      </c>
      <c r="U14" s="15" t="n">
        <f aca="false">IF(S14&lt;tablas!$C$3,0,INDEX(tablas!$D$3:$D$8,MATCH(S14,tablas!$C$3:$C$8,1)))</f>
        <v>0</v>
      </c>
      <c r="V14" s="16" t="n">
        <f aca="false">N(base!AQ14)</f>
        <v>1200</v>
      </c>
      <c r="W14" s="7" t="n">
        <f aca="false">U14*V14</f>
        <v>0</v>
      </c>
      <c r="X14" s="4" t="str">
        <f aca="false">IF(R14&lt;tablas!$C$3,"No activa",INDEX(tablas!$B$3:$B$8,MATCH(R14,tablas!$C$3:$C$8,1)))</f>
        <v>No activa</v>
      </c>
      <c r="Y14" s="7" t="n">
        <f aca="false">IF(R14&lt;tablas!$C$3,0,INDEX(tablas!$D$3:$D$8,MATCH(R14,tablas!$C$3:$C$8,1)))*V14</f>
        <v>0</v>
      </c>
      <c r="Z14" s="4" t="str">
        <f aca="false">IF(S14&gt;=tablas!$C$3,"Activa",IF(S14&gt;=Parametros!$B$5,"Cerca","No activa"))</f>
        <v>No activa</v>
      </c>
      <c r="AA14" s="6" t="n">
        <f aca="false">MAX(0,tablas!$C$3-S14)</f>
        <v>0.161363636363636</v>
      </c>
    </row>
    <row r="15" customFormat="false" ht="15" hidden="false" customHeight="false" outlineLevel="0" collapsed="false">
      <c r="A15" s="14" t="str">
        <f aca="false">base!A15</f>
        <v>72173283-1</v>
      </c>
      <c r="B15" s="14" t="str">
        <f aca="false">base!E15</f>
        <v>Counter</v>
      </c>
      <c r="C15" s="14" t="str">
        <f aca="false">base!D15</f>
        <v>Counter</v>
      </c>
      <c r="D15" s="14" t="str">
        <f aca="false">base!F15</f>
        <v>JENNY ALEJANDRA DE LA CRUZ FLORES</v>
      </c>
      <c r="E15" s="14" t="str">
        <f aca="false">base!G15</f>
        <v>GISELA AVELLANEDA CAMACHO</v>
      </c>
      <c r="F15" s="14" t="n">
        <f aca="false">N(base!O15)</f>
        <v>0.454545454545455</v>
      </c>
      <c r="G15" s="4" t="n">
        <f aca="false">SUM(base!U15:AF15)+N(base!AK15)</f>
        <v>0</v>
      </c>
      <c r="H15" s="14" t="n">
        <f aca="false">N(base!S15)</f>
        <v>8</v>
      </c>
      <c r="I15" s="6" t="n">
        <f aca="false">IFERROR(G15/H15,0)</f>
        <v>0</v>
      </c>
      <c r="J15" s="4" t="n">
        <f aca="false">SUM(base!AG15:AJ15)</f>
        <v>0</v>
      </c>
      <c r="K15" s="5" t="n">
        <f aca="false">IFERROR((base!AG15+base!AH15)/(base!K15+base!L15),0)</f>
        <v>0</v>
      </c>
      <c r="L15" s="5" t="n">
        <f aca="false">MAX(N(base!AI15),K15*N(base!M15))</f>
        <v>0</v>
      </c>
      <c r="M15" s="5" t="n">
        <f aca="false">MAX(N(base!AJ15),K15*N(base!N15))</f>
        <v>0</v>
      </c>
      <c r="N15" s="5" t="n">
        <f aca="false">base!AG15+base!AH15+L15+M15</f>
        <v>0</v>
      </c>
      <c r="O15" s="14" t="n">
        <f aca="false">N(base!T15)</f>
        <v>4</v>
      </c>
      <c r="P15" s="6" t="n">
        <f aca="false">IFERROR(J15/O15,0)</f>
        <v>0</v>
      </c>
      <c r="Q15" s="6" t="n">
        <f aca="false">IFERROR(N15/O15,0)</f>
        <v>0</v>
      </c>
      <c r="R15" s="6" t="n">
        <f aca="false">Parametros!$B$3*I15+Parametros!$B$4*P15</f>
        <v>0</v>
      </c>
      <c r="S15" s="6" t="n">
        <f aca="false">Parametros!$B$3*I15+Parametros!$B$4*Q15</f>
        <v>0</v>
      </c>
      <c r="T15" s="4" t="str">
        <f aca="false">IF(S15&lt;tablas!$C$3,"No activa",INDEX(tablas!$B$3:$B$8,MATCH(S15,tablas!$C$3:$C$8,1)))</f>
        <v>No activa</v>
      </c>
      <c r="U15" s="15" t="n">
        <f aca="false">IF(S15&lt;tablas!$C$3,0,INDEX(tablas!$D$3:$D$8,MATCH(S15,tablas!$C$3:$C$8,1)))</f>
        <v>0</v>
      </c>
      <c r="V15" s="16" t="n">
        <f aca="false">N(base!AQ15)</f>
        <v>545</v>
      </c>
      <c r="W15" s="7" t="n">
        <f aca="false">U15*V15</f>
        <v>0</v>
      </c>
      <c r="X15" s="4" t="str">
        <f aca="false">IF(R15&lt;tablas!$C$3,"No activa",INDEX(tablas!$B$3:$B$8,MATCH(R15,tablas!$C$3:$C$8,1)))</f>
        <v>No activa</v>
      </c>
      <c r="Y15" s="7" t="n">
        <f aca="false">IF(R15&lt;tablas!$C$3,0,INDEX(tablas!$D$3:$D$8,MATCH(R15,tablas!$C$3:$C$8,1)))*V15</f>
        <v>0</v>
      </c>
      <c r="Z15" s="4" t="str">
        <f aca="false">IF(S15&gt;=tablas!$C$3,"Activa",IF(S15&gt;=Parametros!$B$5,"Cerca","No activa"))</f>
        <v>No activa</v>
      </c>
      <c r="AA15" s="6" t="n">
        <f aca="false">MAX(0,tablas!$C$3-S15)</f>
        <v>0.8</v>
      </c>
    </row>
    <row r="16" customFormat="false" ht="15" hidden="false" customHeight="false" outlineLevel="0" collapsed="false">
      <c r="A16" s="14" t="str">
        <f aca="false">base!A16</f>
        <v>08687915-3</v>
      </c>
      <c r="B16" s="14" t="str">
        <f aca="false">base!E16</f>
        <v>Counter</v>
      </c>
      <c r="C16" s="14" t="str">
        <f aca="false">base!D16</f>
        <v>Counter</v>
      </c>
      <c r="D16" s="14" t="str">
        <f aca="false">base!F16</f>
        <v>JENNY ALEJANDRA DE LA CRUZ FLORES</v>
      </c>
      <c r="E16" s="14" t="str">
        <f aca="false">base!G16</f>
        <v>GISELA AVELLANEDA CAMACHO</v>
      </c>
      <c r="F16" s="14" t="n">
        <f aca="false">N(base!O16)</f>
        <v>1</v>
      </c>
      <c r="G16" s="4" t="n">
        <f aca="false">SUM(base!U16:AF16)+N(base!AK16)</f>
        <v>15</v>
      </c>
      <c r="H16" s="14" t="n">
        <f aca="false">N(base!S16)</f>
        <v>17</v>
      </c>
      <c r="I16" s="6" t="n">
        <f aca="false">IFERROR(G16/H16,0)</f>
        <v>0.882352941176471</v>
      </c>
      <c r="J16" s="4" t="n">
        <f aca="false">SUM(base!AG16:AJ16)</f>
        <v>5</v>
      </c>
      <c r="K16" s="5" t="n">
        <f aca="false">IFERROR((base!AG16+base!AH16)/(base!K16+base!L16),0)</f>
        <v>2.5</v>
      </c>
      <c r="L16" s="5" t="n">
        <f aca="false">MAX(N(base!AI16),K16*N(base!M16))</f>
        <v>2.5</v>
      </c>
      <c r="M16" s="5" t="n">
        <f aca="false">MAX(N(base!AJ16),K16*N(base!N16))</f>
        <v>2.5</v>
      </c>
      <c r="N16" s="5" t="n">
        <f aca="false">base!AG16+base!AH16+L16+M16</f>
        <v>10</v>
      </c>
      <c r="O16" s="14" t="n">
        <f aca="false">N(base!T16)</f>
        <v>6</v>
      </c>
      <c r="P16" s="6" t="n">
        <f aca="false">IFERROR(J16/O16,0)</f>
        <v>0.833333333333333</v>
      </c>
      <c r="Q16" s="6" t="n">
        <f aca="false">IFERROR(N16/O16,0)</f>
        <v>1.66666666666667</v>
      </c>
      <c r="R16" s="6" t="n">
        <f aca="false">Parametros!$B$3*I16+Parametros!$B$4*P16</f>
        <v>0.867647058823529</v>
      </c>
      <c r="S16" s="6" t="n">
        <f aca="false">Parametros!$B$3*I16+Parametros!$B$4*Q16</f>
        <v>1.11764705882353</v>
      </c>
      <c r="T16" s="4" t="str">
        <f aca="false">IF(S16&lt;tablas!$C$3,"No activa",INDEX(tablas!$B$3:$B$8,MATCH(S16,tablas!$C$3:$C$8,1)))</f>
        <v>N4</v>
      </c>
      <c r="U16" s="15" t="n">
        <f aca="false">IF(S16&lt;tablas!$C$3,0,INDEX(tablas!$D$3:$D$8,MATCH(S16,tablas!$C$3:$C$8,1)))</f>
        <v>1.3</v>
      </c>
      <c r="V16" s="16" t="n">
        <f aca="false">N(base!AQ16)</f>
        <v>1200</v>
      </c>
      <c r="W16" s="7" t="n">
        <f aca="false">U16*V16</f>
        <v>1560</v>
      </c>
      <c r="X16" s="4" t="str">
        <f aca="false">IF(R16&lt;tablas!$C$3,"No activa",INDEX(tablas!$B$3:$B$8,MATCH(R16,tablas!$C$3:$C$8,1)))</f>
        <v>N1</v>
      </c>
      <c r="Y16" s="7" t="n">
        <f aca="false">IF(R16&lt;tablas!$C$3,0,INDEX(tablas!$D$3:$D$8,MATCH(R16,tablas!$C$3:$C$8,1)))*V16</f>
        <v>360</v>
      </c>
      <c r="Z16" s="4" t="str">
        <f aca="false">IF(S16&gt;=tablas!$C$3,"Activa",IF(S16&gt;=Parametros!$B$5,"Cerca","No activa"))</f>
        <v>Activa</v>
      </c>
      <c r="AA16" s="6" t="n">
        <f aca="false">MAX(0,tablas!$C$3-S16)</f>
        <v>0</v>
      </c>
    </row>
    <row r="17" customFormat="false" ht="15" hidden="false" customHeight="false" outlineLevel="0" collapsed="false">
      <c r="A17" s="14" t="str">
        <f aca="false">base!A17</f>
        <v>71523088-2</v>
      </c>
      <c r="B17" s="14" t="str">
        <f aca="false">base!E17</f>
        <v>Counter</v>
      </c>
      <c r="C17" s="14" t="str">
        <f aca="false">base!D17</f>
        <v>Counter</v>
      </c>
      <c r="D17" s="14" t="str">
        <f aca="false">base!F17</f>
        <v>MIDUA MARGARITA ROMAN MENDEZ</v>
      </c>
      <c r="E17" s="14" t="str">
        <f aca="false">base!G17</f>
        <v>GISELA AVELLANEDA CAMACHO</v>
      </c>
      <c r="F17" s="14" t="n">
        <f aca="false">N(base!O17)</f>
        <v>0.75</v>
      </c>
      <c r="G17" s="4" t="n">
        <f aca="false">SUM(base!U17:AF17)+N(base!AK17)</f>
        <v>4</v>
      </c>
      <c r="H17" s="14" t="n">
        <f aca="false">N(base!S17)</f>
        <v>17</v>
      </c>
      <c r="I17" s="6" t="n">
        <f aca="false">IFERROR(G17/H17,0)</f>
        <v>0.235294117647059</v>
      </c>
      <c r="J17" s="4" t="n">
        <f aca="false">SUM(base!AG17:AJ17)</f>
        <v>1</v>
      </c>
      <c r="K17" s="5" t="n">
        <f aca="false">IFERROR((base!AG17+base!AH17)/(base!K17+base!L17),0)</f>
        <v>1</v>
      </c>
      <c r="L17" s="5" t="n">
        <f aca="false">MAX(N(base!AI17),K17*N(base!M17))</f>
        <v>1</v>
      </c>
      <c r="M17" s="5" t="n">
        <f aca="false">MAX(N(base!AJ17),K17*N(base!N17))</f>
        <v>1</v>
      </c>
      <c r="N17" s="5" t="n">
        <f aca="false">base!AG17+base!AH17+L17+M17</f>
        <v>3</v>
      </c>
      <c r="O17" s="14" t="n">
        <f aca="false">N(base!T17)</f>
        <v>7</v>
      </c>
      <c r="P17" s="6" t="n">
        <f aca="false">IFERROR(J17/O17,0)</f>
        <v>0.142857142857143</v>
      </c>
      <c r="Q17" s="6" t="n">
        <f aca="false">IFERROR(N17/O17,0)</f>
        <v>0.428571428571429</v>
      </c>
      <c r="R17" s="6" t="n">
        <f aca="false">Parametros!$B$3*I17+Parametros!$B$4*P17</f>
        <v>0.207563025210084</v>
      </c>
      <c r="S17" s="6" t="n">
        <f aca="false">Parametros!$B$3*I17+Parametros!$B$4*Q17</f>
        <v>0.29327731092437</v>
      </c>
      <c r="T17" s="4" t="str">
        <f aca="false">IF(S17&lt;tablas!$C$3,"No activa",INDEX(tablas!$B$3:$B$8,MATCH(S17,tablas!$C$3:$C$8,1)))</f>
        <v>No activa</v>
      </c>
      <c r="U17" s="15" t="n">
        <f aca="false">IF(S17&lt;tablas!$C$3,0,INDEX(tablas!$D$3:$D$8,MATCH(S17,tablas!$C$3:$C$8,1)))</f>
        <v>0</v>
      </c>
      <c r="V17" s="16" t="n">
        <f aca="false">N(base!AQ17)</f>
        <v>900</v>
      </c>
      <c r="W17" s="7" t="n">
        <f aca="false">U17*V17</f>
        <v>0</v>
      </c>
      <c r="X17" s="4" t="str">
        <f aca="false">IF(R17&lt;tablas!$C$3,"No activa",INDEX(tablas!$B$3:$B$8,MATCH(R17,tablas!$C$3:$C$8,1)))</f>
        <v>No activa</v>
      </c>
      <c r="Y17" s="7" t="n">
        <f aca="false">IF(R17&lt;tablas!$C$3,0,INDEX(tablas!$D$3:$D$8,MATCH(R17,tablas!$C$3:$C$8,1)))*V17</f>
        <v>0</v>
      </c>
      <c r="Z17" s="4" t="str">
        <f aca="false">IF(S17&gt;=tablas!$C$3,"Activa",IF(S17&gt;=Parametros!$B$5,"Cerca","No activa"))</f>
        <v>No activa</v>
      </c>
      <c r="AA17" s="6" t="n">
        <f aca="false">MAX(0,tablas!$C$3-S17)</f>
        <v>0.50672268907563</v>
      </c>
    </row>
    <row r="18" customFormat="false" ht="15" hidden="false" customHeight="false" outlineLevel="0" collapsed="false">
      <c r="A18" s="14" t="str">
        <f aca="false">base!A18</f>
        <v>74502638-4</v>
      </c>
      <c r="B18" s="14" t="str">
        <f aca="false">base!E18</f>
        <v>Counter</v>
      </c>
      <c r="C18" s="14" t="str">
        <f aca="false">base!D18</f>
        <v>Counter</v>
      </c>
      <c r="D18" s="14" t="str">
        <f aca="false">base!F18</f>
        <v>MIDUA MARGARITA ROMAN MENDEZ</v>
      </c>
      <c r="E18" s="14" t="str">
        <f aca="false">base!G18</f>
        <v>GISELA AVELLANEDA CAMACHO</v>
      </c>
      <c r="F18" s="14" t="n">
        <f aca="false">N(base!O18)</f>
        <v>0.25</v>
      </c>
      <c r="G18" s="4" t="n">
        <f aca="false">SUM(base!U18:AF18)+N(base!AK18)</f>
        <v>0</v>
      </c>
      <c r="H18" s="14" t="n">
        <f aca="false">N(base!S18)</f>
        <v>2</v>
      </c>
      <c r="I18" s="6" t="n">
        <f aca="false">IFERROR(G18/H18,0)</f>
        <v>0</v>
      </c>
      <c r="J18" s="4" t="n">
        <f aca="false">SUM(base!AG18:AJ18)</f>
        <v>0</v>
      </c>
      <c r="K18" s="5" t="n">
        <f aca="false">IFERROR((base!AG18+base!AH18)/(base!K18+base!L18),0)</f>
        <v>0</v>
      </c>
      <c r="L18" s="5" t="n">
        <f aca="false">MAX(N(base!AI18),K18*N(base!M18))</f>
        <v>0</v>
      </c>
      <c r="M18" s="5" t="n">
        <f aca="false">MAX(N(base!AJ18),K18*N(base!N18))</f>
        <v>0</v>
      </c>
      <c r="N18" s="5" t="n">
        <f aca="false">base!AG18+base!AH18+L18+M18</f>
        <v>0</v>
      </c>
      <c r="O18" s="14" t="n">
        <f aca="false">N(base!T18)</f>
        <v>12</v>
      </c>
      <c r="P18" s="6" t="n">
        <f aca="false">IFERROR(J18/O18,0)</f>
        <v>0</v>
      </c>
      <c r="Q18" s="6" t="n">
        <f aca="false">IFERROR(N18/O18,0)</f>
        <v>0</v>
      </c>
      <c r="R18" s="6" t="n">
        <f aca="false">Parametros!$B$3*I18+Parametros!$B$4*P18</f>
        <v>0</v>
      </c>
      <c r="S18" s="6" t="n">
        <f aca="false">Parametros!$B$3*I18+Parametros!$B$4*Q18</f>
        <v>0</v>
      </c>
      <c r="T18" s="4" t="str">
        <f aca="false">IF(S18&lt;tablas!$C$3,"No activa",INDEX(tablas!$B$3:$B$8,MATCH(S18,tablas!$C$3:$C$8,1)))</f>
        <v>No activa</v>
      </c>
      <c r="U18" s="15" t="n">
        <f aca="false">IF(S18&lt;tablas!$C$3,0,INDEX(tablas!$D$3:$D$8,MATCH(S18,tablas!$C$3:$C$8,1)))</f>
        <v>0</v>
      </c>
      <c r="V18" s="16" t="n">
        <f aca="false">N(base!AQ18)</f>
        <v>300</v>
      </c>
      <c r="W18" s="7" t="n">
        <f aca="false">U18*V18</f>
        <v>0</v>
      </c>
      <c r="X18" s="4" t="str">
        <f aca="false">IF(R18&lt;tablas!$C$3,"No activa",INDEX(tablas!$B$3:$B$8,MATCH(R18,tablas!$C$3:$C$8,1)))</f>
        <v>No activa</v>
      </c>
      <c r="Y18" s="7" t="n">
        <f aca="false">IF(R18&lt;tablas!$C$3,0,INDEX(tablas!$D$3:$D$8,MATCH(R18,tablas!$C$3:$C$8,1)))*V18</f>
        <v>0</v>
      </c>
      <c r="Z18" s="4" t="str">
        <f aca="false">IF(S18&gt;=tablas!$C$3,"Activa",IF(S18&gt;=Parametros!$B$5,"Cerca","No activa"))</f>
        <v>No activa</v>
      </c>
      <c r="AA18" s="6" t="n">
        <f aca="false">MAX(0,tablas!$C$3-S18)</f>
        <v>0.8</v>
      </c>
    </row>
    <row r="19" customFormat="false" ht="15" hidden="false" customHeight="false" outlineLevel="0" collapsed="false">
      <c r="A19" s="14" t="str">
        <f aca="false">base!A19</f>
        <v>77036128-7</v>
      </c>
      <c r="B19" s="14" t="str">
        <f aca="false">base!E19</f>
        <v>Counter</v>
      </c>
      <c r="C19" s="14" t="str">
        <f aca="false">base!D19</f>
        <v>Counter</v>
      </c>
      <c r="D19" s="14" t="str">
        <f aca="false">base!F19</f>
        <v>MIDUA MARGARITA ROMAN MENDEZ</v>
      </c>
      <c r="E19" s="14" t="str">
        <f aca="false">base!G19</f>
        <v>GISELA AVELLANEDA CAMACHO</v>
      </c>
      <c r="F19" s="14" t="n">
        <f aca="false">N(base!O19)</f>
        <v>1</v>
      </c>
      <c r="G19" s="4" t="n">
        <f aca="false">SUM(base!U19:AF19)+N(base!AK19)</f>
        <v>9</v>
      </c>
      <c r="H19" s="14" t="n">
        <f aca="false">N(base!S19)</f>
        <v>9</v>
      </c>
      <c r="I19" s="6" t="n">
        <f aca="false">IFERROR(G19/H19,0)</f>
        <v>1</v>
      </c>
      <c r="J19" s="4" t="n">
        <f aca="false">SUM(base!AG19:AJ19)</f>
        <v>0</v>
      </c>
      <c r="K19" s="5" t="n">
        <f aca="false">IFERROR((base!AG19+base!AH19)/(base!K19+base!L19),0)</f>
        <v>0</v>
      </c>
      <c r="L19" s="5" t="n">
        <f aca="false">MAX(N(base!AI19),K19*N(base!M19))</f>
        <v>0</v>
      </c>
      <c r="M19" s="5" t="n">
        <f aca="false">MAX(N(base!AJ19),K19*N(base!N19))</f>
        <v>0</v>
      </c>
      <c r="N19" s="5" t="n">
        <f aca="false">base!AG19+base!AH19+L19+M19</f>
        <v>0</v>
      </c>
      <c r="O19" s="14" t="n">
        <f aca="false">N(base!T19)</f>
        <v>17</v>
      </c>
      <c r="P19" s="6" t="n">
        <f aca="false">IFERROR(J19/O19,0)</f>
        <v>0</v>
      </c>
      <c r="Q19" s="6" t="n">
        <f aca="false">IFERROR(N19/O19,0)</f>
        <v>0</v>
      </c>
      <c r="R19" s="6" t="n">
        <f aca="false">Parametros!$B$3*I19+Parametros!$B$4*P19</f>
        <v>0.7</v>
      </c>
      <c r="S19" s="6" t="n">
        <f aca="false">Parametros!$B$3*I19+Parametros!$B$4*Q19</f>
        <v>0.7</v>
      </c>
      <c r="T19" s="4" t="str">
        <f aca="false">IF(S19&lt;tablas!$C$3,"No activa",INDEX(tablas!$B$3:$B$8,MATCH(S19,tablas!$C$3:$C$8,1)))</f>
        <v>No activa</v>
      </c>
      <c r="U19" s="15" t="n">
        <f aca="false">IF(S19&lt;tablas!$C$3,0,INDEX(tablas!$D$3:$D$8,MATCH(S19,tablas!$C$3:$C$8,1)))</f>
        <v>0</v>
      </c>
      <c r="V19" s="16" t="n">
        <f aca="false">N(base!AQ19)</f>
        <v>1200</v>
      </c>
      <c r="W19" s="7" t="n">
        <f aca="false">U19*V19</f>
        <v>0</v>
      </c>
      <c r="X19" s="4" t="str">
        <f aca="false">IF(R19&lt;tablas!$C$3,"No activa",INDEX(tablas!$B$3:$B$8,MATCH(R19,tablas!$C$3:$C$8,1)))</f>
        <v>No activa</v>
      </c>
      <c r="Y19" s="7" t="n">
        <f aca="false">IF(R19&lt;tablas!$C$3,0,INDEX(tablas!$D$3:$D$8,MATCH(R19,tablas!$C$3:$C$8,1)))*V19</f>
        <v>0</v>
      </c>
      <c r="Z19" s="4" t="str">
        <f aca="false">IF(S19&gt;=tablas!$C$3,"Activa",IF(S19&gt;=Parametros!$B$5,"Cerca","No activa"))</f>
        <v>Cerca</v>
      </c>
      <c r="AA19" s="6" t="n">
        <f aca="false">MAX(0,tablas!$C$3-S19)</f>
        <v>0.1</v>
      </c>
    </row>
    <row r="20" customFormat="false" ht="15" hidden="false" customHeight="false" outlineLevel="0" collapsed="false">
      <c r="A20" s="14" t="str">
        <f aca="false">base!A20</f>
        <v>72430817-7</v>
      </c>
      <c r="B20" s="14" t="str">
        <f aca="false">base!E20</f>
        <v>Counter</v>
      </c>
      <c r="C20" s="14" t="str">
        <f aca="false">base!D20</f>
        <v>Counter</v>
      </c>
      <c r="D20" s="14" t="str">
        <f aca="false">base!F20</f>
        <v>MIDUA MARGARITA ROMAN MENDEZ</v>
      </c>
      <c r="E20" s="14" t="str">
        <f aca="false">base!G20</f>
        <v>GISELA AVELLANEDA CAMACHO</v>
      </c>
      <c r="F20" s="14" t="n">
        <f aca="false">N(base!O20)</f>
        <v>0.75</v>
      </c>
      <c r="G20" s="4" t="n">
        <f aca="false">SUM(base!U20:AF20)+N(base!AK20)</f>
        <v>8</v>
      </c>
      <c r="H20" s="14" t="n">
        <f aca="false">N(base!S20)</f>
        <v>17</v>
      </c>
      <c r="I20" s="6" t="n">
        <f aca="false">IFERROR(G20/H20,0)</f>
        <v>0.470588235294118</v>
      </c>
      <c r="J20" s="4" t="n">
        <f aca="false">SUM(base!AG20:AJ20)</f>
        <v>5</v>
      </c>
      <c r="K20" s="5" t="n">
        <f aca="false">IFERROR((base!AG20+base!AH20)/(base!K20+base!L20),0)</f>
        <v>2.5</v>
      </c>
      <c r="L20" s="5" t="n">
        <f aca="false">MAX(N(base!AI20),K20*N(base!M20))</f>
        <v>0</v>
      </c>
      <c r="M20" s="5" t="n">
        <f aca="false">MAX(N(base!AJ20),K20*N(base!N20))</f>
        <v>2.5</v>
      </c>
      <c r="N20" s="5" t="n">
        <f aca="false">base!AG20+base!AH20+L20+M20</f>
        <v>7.5</v>
      </c>
      <c r="O20" s="14" t="n">
        <f aca="false">N(base!T20)</f>
        <v>7</v>
      </c>
      <c r="P20" s="6" t="n">
        <f aca="false">IFERROR(J20/O20,0)</f>
        <v>0.714285714285714</v>
      </c>
      <c r="Q20" s="6" t="n">
        <f aca="false">IFERROR(N20/O20,0)</f>
        <v>1.07142857142857</v>
      </c>
      <c r="R20" s="6" t="n">
        <f aca="false">Parametros!$B$3*I20+Parametros!$B$4*P20</f>
        <v>0.543697478991597</v>
      </c>
      <c r="S20" s="6" t="n">
        <f aca="false">Parametros!$B$3*I20+Parametros!$B$4*Q20</f>
        <v>0.650840336134454</v>
      </c>
      <c r="T20" s="4" t="str">
        <f aca="false">IF(S20&lt;tablas!$C$3,"No activa",INDEX(tablas!$B$3:$B$8,MATCH(S20,tablas!$C$3:$C$8,1)))</f>
        <v>No activa</v>
      </c>
      <c r="U20" s="15" t="n">
        <f aca="false">IF(S20&lt;tablas!$C$3,0,INDEX(tablas!$D$3:$D$8,MATCH(S20,tablas!$C$3:$C$8,1)))</f>
        <v>0</v>
      </c>
      <c r="V20" s="16" t="n">
        <f aca="false">N(base!AQ20)</f>
        <v>900</v>
      </c>
      <c r="W20" s="7" t="n">
        <f aca="false">U20*V20</f>
        <v>0</v>
      </c>
      <c r="X20" s="4" t="str">
        <f aca="false">IF(R20&lt;tablas!$C$3,"No activa",INDEX(tablas!$B$3:$B$8,MATCH(R20,tablas!$C$3:$C$8,1)))</f>
        <v>No activa</v>
      </c>
      <c r="Y20" s="7" t="n">
        <f aca="false">IF(R20&lt;tablas!$C$3,0,INDEX(tablas!$D$3:$D$8,MATCH(R20,tablas!$C$3:$C$8,1)))*V20</f>
        <v>0</v>
      </c>
      <c r="Z20" s="4" t="str">
        <f aca="false">IF(S20&gt;=tablas!$C$3,"Activa",IF(S20&gt;=Parametros!$B$5,"Cerca","No activa"))</f>
        <v>No activa</v>
      </c>
      <c r="AA20" s="6" t="n">
        <f aca="false">MAX(0,tablas!$C$3-S20)</f>
        <v>0.149159663865546</v>
      </c>
    </row>
    <row r="21" customFormat="false" ht="15" hidden="false" customHeight="false" outlineLevel="0" collapsed="false">
      <c r="A21" s="14" t="str">
        <f aca="false">base!A21</f>
        <v>45249464-2</v>
      </c>
      <c r="B21" s="14" t="str">
        <f aca="false">base!E21</f>
        <v>Counter</v>
      </c>
      <c r="C21" s="14" t="str">
        <f aca="false">base!D21</f>
        <v>Counter</v>
      </c>
      <c r="D21" s="14" t="str">
        <f aca="false">base!F21</f>
        <v>MIDUA MARGARITA ROMAN MENDEZ</v>
      </c>
      <c r="E21" s="14" t="str">
        <f aca="false">base!G21</f>
        <v>GISELA AVELLANEDA CAMACHO</v>
      </c>
      <c r="F21" s="14" t="n">
        <f aca="false">N(base!O21)</f>
        <v>1</v>
      </c>
      <c r="G21" s="4" t="n">
        <f aca="false">SUM(base!U21:AF21)+N(base!AK21)</f>
        <v>13</v>
      </c>
      <c r="H21" s="14" t="n">
        <f aca="false">N(base!S21)</f>
        <v>23</v>
      </c>
      <c r="I21" s="6" t="n">
        <f aca="false">IFERROR(G21/H21,0)</f>
        <v>0.565217391304348</v>
      </c>
      <c r="J21" s="4" t="n">
        <f aca="false">SUM(base!AG21:AJ21)</f>
        <v>3</v>
      </c>
      <c r="K21" s="5" t="n">
        <f aca="false">IFERROR((base!AG21+base!AH21)/(base!K21+base!L21),0)</f>
        <v>1</v>
      </c>
      <c r="L21" s="5" t="n">
        <f aca="false">MAX(N(base!AI21),K21*N(base!M21))</f>
        <v>1</v>
      </c>
      <c r="M21" s="5" t="n">
        <f aca="false">MAX(N(base!AJ21),K21*N(base!N21))</f>
        <v>1</v>
      </c>
      <c r="N21" s="5" t="n">
        <f aca="false">base!AG21+base!AH21+L21+M21</f>
        <v>4</v>
      </c>
      <c r="O21" s="14" t="n">
        <f aca="false">N(base!T21)</f>
        <v>8</v>
      </c>
      <c r="P21" s="6" t="n">
        <f aca="false">IFERROR(J21/O21,0)</f>
        <v>0.375</v>
      </c>
      <c r="Q21" s="6" t="n">
        <f aca="false">IFERROR(N21/O21,0)</f>
        <v>0.5</v>
      </c>
      <c r="R21" s="6" t="n">
        <f aca="false">Parametros!$B$3*I21+Parametros!$B$4*P21</f>
        <v>0.508152173913044</v>
      </c>
      <c r="S21" s="6" t="n">
        <f aca="false">Parametros!$B$3*I21+Parametros!$B$4*Q21</f>
        <v>0.545652173913043</v>
      </c>
      <c r="T21" s="4" t="str">
        <f aca="false">IF(S21&lt;tablas!$C$3,"No activa",INDEX(tablas!$B$3:$B$8,MATCH(S21,tablas!$C$3:$C$8,1)))</f>
        <v>No activa</v>
      </c>
      <c r="U21" s="15" t="n">
        <f aca="false">IF(S21&lt;tablas!$C$3,0,INDEX(tablas!$D$3:$D$8,MATCH(S21,tablas!$C$3:$C$8,1)))</f>
        <v>0</v>
      </c>
      <c r="V21" s="16" t="n">
        <f aca="false">N(base!AQ21)</f>
        <v>1200</v>
      </c>
      <c r="W21" s="7" t="n">
        <f aca="false">U21*V21</f>
        <v>0</v>
      </c>
      <c r="X21" s="4" t="str">
        <f aca="false">IF(R21&lt;tablas!$C$3,"No activa",INDEX(tablas!$B$3:$B$8,MATCH(R21,tablas!$C$3:$C$8,1)))</f>
        <v>No activa</v>
      </c>
      <c r="Y21" s="7" t="n">
        <f aca="false">IF(R21&lt;tablas!$C$3,0,INDEX(tablas!$D$3:$D$8,MATCH(R21,tablas!$C$3:$C$8,1)))*V21</f>
        <v>0</v>
      </c>
      <c r="Z21" s="4" t="str">
        <f aca="false">IF(S21&gt;=tablas!$C$3,"Activa",IF(S21&gt;=Parametros!$B$5,"Cerca","No activa"))</f>
        <v>No activa</v>
      </c>
      <c r="AA21" s="6" t="n">
        <f aca="false">MAX(0,tablas!$C$3-S21)</f>
        <v>0.254347826086957</v>
      </c>
    </row>
    <row r="22" customFormat="false" ht="15" hidden="false" customHeight="false" outlineLevel="0" collapsed="false">
      <c r="A22" s="14" t="str">
        <f aca="false">base!A22</f>
        <v>46514772-1</v>
      </c>
      <c r="B22" s="14" t="str">
        <f aca="false">base!E22</f>
        <v>Counter</v>
      </c>
      <c r="C22" s="14" t="str">
        <f aca="false">base!D22</f>
        <v>Counter</v>
      </c>
      <c r="D22" s="14" t="str">
        <f aca="false">base!F22</f>
        <v>MIDUA MARGARITA ROMAN MENDEZ</v>
      </c>
      <c r="E22" s="14" t="str">
        <f aca="false">base!G22</f>
        <v>GISELA AVELLANEDA CAMACHO</v>
      </c>
      <c r="F22" s="14" t="n">
        <f aca="false">N(base!O22)</f>
        <v>0.75</v>
      </c>
      <c r="G22" s="4" t="n">
        <f aca="false">SUM(base!U22:AF22)+N(base!AK22)</f>
        <v>8</v>
      </c>
      <c r="H22" s="14" t="n">
        <f aca="false">N(base!S22)</f>
        <v>12</v>
      </c>
      <c r="I22" s="6" t="n">
        <f aca="false">IFERROR(G22/H22,0)</f>
        <v>0.666666666666667</v>
      </c>
      <c r="J22" s="4" t="n">
        <f aca="false">SUM(base!AG22:AJ22)</f>
        <v>1</v>
      </c>
      <c r="K22" s="5" t="n">
        <f aca="false">IFERROR((base!AG22+base!AH22)/(base!K22+base!L22),0)</f>
        <v>0.5</v>
      </c>
      <c r="L22" s="5" t="n">
        <f aca="false">MAX(N(base!AI22),K22*N(base!M22))</f>
        <v>0.5</v>
      </c>
      <c r="M22" s="5" t="n">
        <f aca="false">MAX(N(base!AJ22),K22*N(base!N22))</f>
        <v>0</v>
      </c>
      <c r="N22" s="5" t="n">
        <f aca="false">base!AG22+base!AH22+L22+M22</f>
        <v>1.5</v>
      </c>
      <c r="O22" s="14" t="n">
        <f aca="false">N(base!T22)</f>
        <v>5</v>
      </c>
      <c r="P22" s="6" t="n">
        <f aca="false">IFERROR(J22/O22,0)</f>
        <v>0.2</v>
      </c>
      <c r="Q22" s="6" t="n">
        <f aca="false">IFERROR(N22/O22,0)</f>
        <v>0.3</v>
      </c>
      <c r="R22" s="6" t="n">
        <f aca="false">Parametros!$B$3*I22+Parametros!$B$4*P22</f>
        <v>0.526666666666667</v>
      </c>
      <c r="S22" s="6" t="n">
        <f aca="false">Parametros!$B$3*I22+Parametros!$B$4*Q22</f>
        <v>0.556666666666667</v>
      </c>
      <c r="T22" s="4" t="str">
        <f aca="false">IF(S22&lt;tablas!$C$3,"No activa",INDEX(tablas!$B$3:$B$8,MATCH(S22,tablas!$C$3:$C$8,1)))</f>
        <v>No activa</v>
      </c>
      <c r="U22" s="15" t="n">
        <f aca="false">IF(S22&lt;tablas!$C$3,0,INDEX(tablas!$D$3:$D$8,MATCH(S22,tablas!$C$3:$C$8,1)))</f>
        <v>0</v>
      </c>
      <c r="V22" s="16" t="n">
        <f aca="false">N(base!AQ22)</f>
        <v>900</v>
      </c>
      <c r="W22" s="7" t="n">
        <f aca="false">U22*V22</f>
        <v>0</v>
      </c>
      <c r="X22" s="4" t="str">
        <f aca="false">IF(R22&lt;tablas!$C$3,"No activa",INDEX(tablas!$B$3:$B$8,MATCH(R22,tablas!$C$3:$C$8,1)))</f>
        <v>No activa</v>
      </c>
      <c r="Y22" s="7" t="n">
        <f aca="false">IF(R22&lt;tablas!$C$3,0,INDEX(tablas!$D$3:$D$8,MATCH(R22,tablas!$C$3:$C$8,1)))*V22</f>
        <v>0</v>
      </c>
      <c r="Z22" s="4" t="str">
        <f aca="false">IF(S22&gt;=tablas!$C$3,"Activa",IF(S22&gt;=Parametros!$B$5,"Cerca","No activa"))</f>
        <v>No activa</v>
      </c>
      <c r="AA22" s="6" t="n">
        <f aca="false">MAX(0,tablas!$C$3-S22)</f>
        <v>0.243333333333333</v>
      </c>
    </row>
    <row r="23" customFormat="false" ht="15" hidden="false" customHeight="false" outlineLevel="0" collapsed="false">
      <c r="A23" s="14" t="str">
        <f aca="false">base!A23</f>
        <v>10638696-5</v>
      </c>
      <c r="B23" s="14" t="str">
        <f aca="false">base!E23</f>
        <v>Counter</v>
      </c>
      <c r="C23" s="14" t="str">
        <f aca="false">base!D23</f>
        <v>Counter</v>
      </c>
      <c r="D23" s="14" t="str">
        <f aca="false">base!F23</f>
        <v>MIDUA MARGARITA ROMAN MENDEZ</v>
      </c>
      <c r="E23" s="14" t="str">
        <f aca="false">base!G23</f>
        <v>GISELA AVELLANEDA CAMACHO</v>
      </c>
      <c r="F23" s="14" t="n">
        <f aca="false">N(base!O23)</f>
        <v>0</v>
      </c>
      <c r="G23" s="4" t="n">
        <f aca="false">SUM(base!U23:AF23)+N(base!AK23)</f>
        <v>0</v>
      </c>
      <c r="H23" s="14" t="n">
        <f aca="false">N(base!S23)</f>
        <v>0</v>
      </c>
      <c r="I23" s="6" t="n">
        <f aca="false">IFERROR(G23/H23,0)</f>
        <v>0</v>
      </c>
      <c r="J23" s="4" t="n">
        <f aca="false">SUM(base!AG23:AJ23)</f>
        <v>0</v>
      </c>
      <c r="K23" s="5" t="n">
        <f aca="false">IFERROR((base!AG23+base!AH23)/(base!K23+base!L23),0)</f>
        <v>0</v>
      </c>
      <c r="L23" s="5" t="n">
        <f aca="false">MAX(N(base!AI23),K23*N(base!M23))</f>
        <v>0</v>
      </c>
      <c r="M23" s="5" t="n">
        <f aca="false">MAX(N(base!AJ23),K23*N(base!N23))</f>
        <v>0</v>
      </c>
      <c r="N23" s="5" t="n">
        <f aca="false">base!AG23+base!AH23+L23+M23</f>
        <v>0</v>
      </c>
      <c r="O23" s="14" t="n">
        <f aca="false">N(base!T23)</f>
        <v>0</v>
      </c>
      <c r="P23" s="6" t="n">
        <f aca="false">IFERROR(J23/O23,0)</f>
        <v>0</v>
      </c>
      <c r="Q23" s="6" t="n">
        <f aca="false">IFERROR(N23/O23,0)</f>
        <v>0</v>
      </c>
      <c r="R23" s="6" t="n">
        <f aca="false">Parametros!$B$3*I23+Parametros!$B$4*P23</f>
        <v>0</v>
      </c>
      <c r="S23" s="6" t="n">
        <f aca="false">Parametros!$B$3*I23+Parametros!$B$4*Q23</f>
        <v>0</v>
      </c>
      <c r="T23" s="4" t="str">
        <f aca="false">IF(S23&lt;tablas!$C$3,"No activa",INDEX(tablas!$B$3:$B$8,MATCH(S23,tablas!$C$3:$C$8,1)))</f>
        <v>No activa</v>
      </c>
      <c r="U23" s="15" t="n">
        <f aca="false">IF(S23&lt;tablas!$C$3,0,INDEX(tablas!$D$3:$D$8,MATCH(S23,tablas!$C$3:$C$8,1)))</f>
        <v>0</v>
      </c>
      <c r="V23" s="16" t="n">
        <f aca="false">N(base!AQ23)</f>
        <v>0</v>
      </c>
      <c r="W23" s="7" t="n">
        <f aca="false">U23*V23</f>
        <v>0</v>
      </c>
      <c r="X23" s="4" t="str">
        <f aca="false">IF(R23&lt;tablas!$C$3,"No activa",INDEX(tablas!$B$3:$B$8,MATCH(R23,tablas!$C$3:$C$8,1)))</f>
        <v>No activa</v>
      </c>
      <c r="Y23" s="7" t="n">
        <f aca="false">IF(R23&lt;tablas!$C$3,0,INDEX(tablas!$D$3:$D$8,MATCH(R23,tablas!$C$3:$C$8,1)))*V23</f>
        <v>0</v>
      </c>
      <c r="Z23" s="4" t="str">
        <f aca="false">IF(S23&gt;=tablas!$C$3,"Activa",IF(S23&gt;=Parametros!$B$5,"Cerca","No activa"))</f>
        <v>No activa</v>
      </c>
      <c r="AA23" s="6" t="n">
        <f aca="false">MAX(0,tablas!$C$3-S23)</f>
        <v>0.8</v>
      </c>
    </row>
    <row r="24" customFormat="false" ht="15" hidden="false" customHeight="false" outlineLevel="0" collapsed="false">
      <c r="A24" s="14" t="str">
        <f aca="false">base!A24</f>
        <v>75845729-5</v>
      </c>
      <c r="B24" s="14" t="str">
        <f aca="false">base!E24</f>
        <v>Counter</v>
      </c>
      <c r="C24" s="14" t="str">
        <f aca="false">base!D24</f>
        <v>Counter</v>
      </c>
      <c r="D24" s="14" t="str">
        <f aca="false">base!F24</f>
        <v>MIDUA MARGARITA ROMAN MENDEZ</v>
      </c>
      <c r="E24" s="14" t="str">
        <f aca="false">base!G24</f>
        <v>GISELA AVELLANEDA CAMACHO</v>
      </c>
      <c r="F24" s="14" t="n">
        <f aca="false">N(base!O24)</f>
        <v>0.75</v>
      </c>
      <c r="G24" s="4" t="n">
        <f aca="false">SUM(base!U24:AF24)+N(base!AK24)</f>
        <v>7</v>
      </c>
      <c r="H24" s="14" t="n">
        <f aca="false">N(base!S24)</f>
        <v>12</v>
      </c>
      <c r="I24" s="6" t="n">
        <f aca="false">IFERROR(G24/H24,0)</f>
        <v>0.583333333333333</v>
      </c>
      <c r="J24" s="4" t="n">
        <f aca="false">SUM(base!AG24:AJ24)</f>
        <v>1</v>
      </c>
      <c r="K24" s="5" t="n">
        <f aca="false">IFERROR((base!AG24+base!AH24)/(base!K24+base!L24),0)</f>
        <v>1</v>
      </c>
      <c r="L24" s="5" t="n">
        <f aca="false">MAX(N(base!AI24),K24*N(base!M24))</f>
        <v>1</v>
      </c>
      <c r="M24" s="5" t="n">
        <f aca="false">MAX(N(base!AJ24),K24*N(base!N24))</f>
        <v>1</v>
      </c>
      <c r="N24" s="5" t="n">
        <f aca="false">base!AG24+base!AH24+L24+M24</f>
        <v>3</v>
      </c>
      <c r="O24" s="14" t="n">
        <f aca="false">N(base!T24)</f>
        <v>4</v>
      </c>
      <c r="P24" s="6" t="n">
        <f aca="false">IFERROR(J24/O24,0)</f>
        <v>0.25</v>
      </c>
      <c r="Q24" s="6" t="n">
        <f aca="false">IFERROR(N24/O24,0)</f>
        <v>0.75</v>
      </c>
      <c r="R24" s="6" t="n">
        <f aca="false">Parametros!$B$3*I24+Parametros!$B$4*P24</f>
        <v>0.483333333333333</v>
      </c>
      <c r="S24" s="6" t="n">
        <f aca="false">Parametros!$B$3*I24+Parametros!$B$4*Q24</f>
        <v>0.633333333333333</v>
      </c>
      <c r="T24" s="4" t="str">
        <f aca="false">IF(S24&lt;tablas!$C$3,"No activa",INDEX(tablas!$B$3:$B$8,MATCH(S24,tablas!$C$3:$C$8,1)))</f>
        <v>No activa</v>
      </c>
      <c r="U24" s="15" t="n">
        <f aca="false">IF(S24&lt;tablas!$C$3,0,INDEX(tablas!$D$3:$D$8,MATCH(S24,tablas!$C$3:$C$8,1)))</f>
        <v>0</v>
      </c>
      <c r="V24" s="16" t="n">
        <f aca="false">N(base!AQ24)</f>
        <v>900</v>
      </c>
      <c r="W24" s="7" t="n">
        <f aca="false">U24*V24</f>
        <v>0</v>
      </c>
      <c r="X24" s="4" t="str">
        <f aca="false">IF(R24&lt;tablas!$C$3,"No activa",INDEX(tablas!$B$3:$B$8,MATCH(R24,tablas!$C$3:$C$8,1)))</f>
        <v>No activa</v>
      </c>
      <c r="Y24" s="7" t="n">
        <f aca="false">IF(R24&lt;tablas!$C$3,0,INDEX(tablas!$D$3:$D$8,MATCH(R24,tablas!$C$3:$C$8,1)))*V24</f>
        <v>0</v>
      </c>
      <c r="Z24" s="4" t="str">
        <f aca="false">IF(S24&gt;=tablas!$C$3,"Activa",IF(S24&gt;=Parametros!$B$5,"Cerca","No activa"))</f>
        <v>No activa</v>
      </c>
      <c r="AA24" s="6" t="n">
        <f aca="false">MAX(0,tablas!$C$3-S24)</f>
        <v>0.166666666666667</v>
      </c>
    </row>
    <row r="25" customFormat="false" ht="15" hidden="false" customHeight="false" outlineLevel="0" collapsed="false">
      <c r="A25" s="14" t="str">
        <f aca="false">base!A25</f>
        <v>75845459-8</v>
      </c>
      <c r="B25" s="14" t="str">
        <f aca="false">base!E25</f>
        <v>Chattigo</v>
      </c>
      <c r="C25" s="14" t="str">
        <f aca="false">base!D25</f>
        <v>Inbound</v>
      </c>
      <c r="D25" s="14" t="str">
        <f aca="false">base!F25</f>
        <v>CARLOS GARCIA MORALES</v>
      </c>
      <c r="E25" s="14" t="str">
        <f aca="false">base!G25</f>
        <v>YEISON ROJAS INGOL</v>
      </c>
      <c r="F25" s="14" t="n">
        <f aca="false">N(base!O25)</f>
        <v>0.75</v>
      </c>
      <c r="G25" s="4" t="n">
        <f aca="false">SUM(base!U25:AF25)+N(base!AK25)</f>
        <v>10</v>
      </c>
      <c r="H25" s="14" t="n">
        <f aca="false">N(base!S25)</f>
        <v>23</v>
      </c>
      <c r="I25" s="6" t="n">
        <f aca="false">IFERROR(G25/H25,0)</f>
        <v>0.434782608695652</v>
      </c>
      <c r="J25" s="4" t="n">
        <f aca="false">SUM(base!AG25:AJ25)</f>
        <v>4</v>
      </c>
      <c r="K25" s="5" t="n">
        <f aca="false">IFERROR((base!AG25+base!AH25)/(base!K25+base!L25),0)</f>
        <v>2</v>
      </c>
      <c r="L25" s="5" t="n">
        <f aca="false">MAX(N(base!AI25),K25*N(base!M25))</f>
        <v>2</v>
      </c>
      <c r="M25" s="5" t="n">
        <f aca="false">MAX(N(base!AJ25),K25*N(base!N25))</f>
        <v>0</v>
      </c>
      <c r="N25" s="5" t="n">
        <f aca="false">base!AG25+base!AH25+L25+M25</f>
        <v>6</v>
      </c>
      <c r="O25" s="14" t="n">
        <f aca="false">N(base!T25)</f>
        <v>9</v>
      </c>
      <c r="P25" s="6" t="n">
        <f aca="false">IFERROR(J25/O25,0)</f>
        <v>0.444444444444444</v>
      </c>
      <c r="Q25" s="6" t="n">
        <f aca="false">IFERROR(N25/O25,0)</f>
        <v>0.666666666666667</v>
      </c>
      <c r="R25" s="6" t="n">
        <f aca="false">Parametros!$B$3*I25+Parametros!$B$4*P25</f>
        <v>0.43768115942029</v>
      </c>
      <c r="S25" s="6" t="n">
        <f aca="false">Parametros!$B$3*I25+Parametros!$B$4*Q25</f>
        <v>0.504347826086957</v>
      </c>
      <c r="T25" s="4" t="str">
        <f aca="false">IF(S25&lt;tablas!$C$3,"No activa",INDEX(tablas!$B$3:$B$8,MATCH(S25,tablas!$C$3:$C$8,1)))</f>
        <v>No activa</v>
      </c>
      <c r="U25" s="15" t="n">
        <f aca="false">IF(S25&lt;tablas!$C$3,0,INDEX(tablas!$D$3:$D$8,MATCH(S25,tablas!$C$3:$C$8,1)))</f>
        <v>0</v>
      </c>
      <c r="V25" s="16" t="n">
        <f aca="false">N(base!AQ25)</f>
        <v>900</v>
      </c>
      <c r="W25" s="7" t="n">
        <f aca="false">U25*V25</f>
        <v>0</v>
      </c>
      <c r="X25" s="4" t="str">
        <f aca="false">IF(R25&lt;tablas!$C$3,"No activa",INDEX(tablas!$B$3:$B$8,MATCH(R25,tablas!$C$3:$C$8,1)))</f>
        <v>No activa</v>
      </c>
      <c r="Y25" s="7" t="n">
        <f aca="false">IF(R25&lt;tablas!$C$3,0,INDEX(tablas!$D$3:$D$8,MATCH(R25,tablas!$C$3:$C$8,1)))*V25</f>
        <v>0</v>
      </c>
      <c r="Z25" s="4" t="str">
        <f aca="false">IF(S25&gt;=tablas!$C$3,"Activa",IF(S25&gt;=Parametros!$B$5,"Cerca","No activa"))</f>
        <v>No activa</v>
      </c>
      <c r="AA25" s="6" t="n">
        <f aca="false">MAX(0,tablas!$C$3-S25)</f>
        <v>0.295652173913044</v>
      </c>
    </row>
    <row r="26" customFormat="false" ht="15" hidden="false" customHeight="false" outlineLevel="0" collapsed="false">
      <c r="A26" s="14" t="str">
        <f aca="false">base!A26</f>
        <v>77220806-1</v>
      </c>
      <c r="B26" s="14" t="str">
        <f aca="false">base!E26</f>
        <v>Chattigo</v>
      </c>
      <c r="C26" s="14" t="str">
        <f aca="false">base!D26</f>
        <v>Inbound</v>
      </c>
      <c r="D26" s="14" t="str">
        <f aca="false">base!F26</f>
        <v>MAITE PEÑA VALLE</v>
      </c>
      <c r="E26" s="14" t="str">
        <f aca="false">base!G26</f>
        <v>YEISON ROJAS INGOL</v>
      </c>
      <c r="F26" s="14" t="n">
        <f aca="false">N(base!O26)</f>
        <v>0.659090909090909</v>
      </c>
      <c r="G26" s="4" t="n">
        <f aca="false">SUM(base!U26:AF26)+N(base!AK26)</f>
        <v>9</v>
      </c>
      <c r="H26" s="14" t="n">
        <f aca="false">N(base!S26)</f>
        <v>20</v>
      </c>
      <c r="I26" s="6" t="n">
        <f aca="false">IFERROR(G26/H26,0)</f>
        <v>0.45</v>
      </c>
      <c r="J26" s="4" t="n">
        <f aca="false">SUM(base!AG26:AJ26)</f>
        <v>4</v>
      </c>
      <c r="K26" s="5" t="n">
        <f aca="false">IFERROR((base!AG26+base!AH26)/(base!K26+base!L26),0)</f>
        <v>4</v>
      </c>
      <c r="L26" s="5" t="n">
        <f aca="false">MAX(N(base!AI26),K26*N(base!M26))</f>
        <v>2.54545454545455</v>
      </c>
      <c r="M26" s="5" t="n">
        <f aca="false">MAX(N(base!AJ26),K26*N(base!N26))</f>
        <v>4</v>
      </c>
      <c r="N26" s="5" t="n">
        <f aca="false">base!AG26+base!AH26+L26+M26</f>
        <v>10.5454545454545</v>
      </c>
      <c r="O26" s="14" t="n">
        <f aca="false">N(base!T26)</f>
        <v>7</v>
      </c>
      <c r="P26" s="6" t="n">
        <f aca="false">IFERROR(J26/O26,0)</f>
        <v>0.571428571428571</v>
      </c>
      <c r="Q26" s="6" t="n">
        <f aca="false">IFERROR(N26/O26,0)</f>
        <v>1.50649350649351</v>
      </c>
      <c r="R26" s="6" t="n">
        <f aca="false">Parametros!$B$3*I26+Parametros!$B$4*P26</f>
        <v>0.486428571428571</v>
      </c>
      <c r="S26" s="6" t="n">
        <f aca="false">Parametros!$B$3*I26+Parametros!$B$4*Q26</f>
        <v>0.766948051948052</v>
      </c>
      <c r="T26" s="4" t="str">
        <f aca="false">IF(S26&lt;tablas!$C$3,"No activa",INDEX(tablas!$B$3:$B$8,MATCH(S26,tablas!$C$3:$C$8,1)))</f>
        <v>No activa</v>
      </c>
      <c r="U26" s="15" t="n">
        <f aca="false">IF(S26&lt;tablas!$C$3,0,INDEX(tablas!$D$3:$D$8,MATCH(S26,tablas!$C$3:$C$8,1)))</f>
        <v>0</v>
      </c>
      <c r="V26" s="16" t="n">
        <f aca="false">N(base!AQ26)</f>
        <v>791</v>
      </c>
      <c r="W26" s="7" t="n">
        <f aca="false">U26*V26</f>
        <v>0</v>
      </c>
      <c r="X26" s="4" t="str">
        <f aca="false">IF(R26&lt;tablas!$C$3,"No activa",INDEX(tablas!$B$3:$B$8,MATCH(R26,tablas!$C$3:$C$8,1)))</f>
        <v>No activa</v>
      </c>
      <c r="Y26" s="7" t="n">
        <f aca="false">IF(R26&lt;tablas!$C$3,0,INDEX(tablas!$D$3:$D$8,MATCH(R26,tablas!$C$3:$C$8,1)))*V26</f>
        <v>0</v>
      </c>
      <c r="Z26" s="4" t="str">
        <f aca="false">IF(S26&gt;=tablas!$C$3,"Activa",IF(S26&gt;=Parametros!$B$5,"Cerca","No activa"))</f>
        <v>Cerca</v>
      </c>
      <c r="AA26" s="6" t="n">
        <f aca="false">MAX(0,tablas!$C$3-S26)</f>
        <v>0.0330519480519482</v>
      </c>
    </row>
    <row r="27" customFormat="false" ht="15" hidden="false" customHeight="false" outlineLevel="0" collapsed="false">
      <c r="A27" s="14" t="str">
        <f aca="false">base!A27</f>
        <v>71726182-3</v>
      </c>
      <c r="B27" s="14" t="str">
        <f aca="false">base!E27</f>
        <v>Chattigo</v>
      </c>
      <c r="C27" s="14" t="str">
        <f aca="false">base!D27</f>
        <v>Inbound</v>
      </c>
      <c r="D27" s="14" t="str">
        <f aca="false">base!F27</f>
        <v>CARLOS GARCIA MORALES</v>
      </c>
      <c r="E27" s="14" t="str">
        <f aca="false">base!G27</f>
        <v>YEISON ROJAS INGOL</v>
      </c>
      <c r="F27" s="14" t="n">
        <f aca="false">N(base!O27)</f>
        <v>0.477272727272727</v>
      </c>
      <c r="G27" s="4" t="n">
        <f aca="false">SUM(base!U27:AF27)+N(base!AK27)</f>
        <v>5</v>
      </c>
      <c r="H27" s="14" t="n">
        <f aca="false">N(base!S27)</f>
        <v>14</v>
      </c>
      <c r="I27" s="6" t="n">
        <f aca="false">IFERROR(G27/H27,0)</f>
        <v>0.357142857142857</v>
      </c>
      <c r="J27" s="4" t="n">
        <f aca="false">SUM(base!AG27:AJ27)</f>
        <v>8</v>
      </c>
      <c r="K27" s="5" t="n">
        <f aca="false">IFERROR((base!AG27+base!AH27)/(base!K27+base!L27),0)</f>
        <v>8.8</v>
      </c>
      <c r="L27" s="5" t="n">
        <f aca="false">MAX(N(base!AI27),K27*N(base!M27))</f>
        <v>0</v>
      </c>
      <c r="M27" s="5" t="n">
        <f aca="false">MAX(N(base!AJ27),K27*N(base!N27))</f>
        <v>8.8</v>
      </c>
      <c r="N27" s="5" t="n">
        <f aca="false">base!AG27+base!AH27+L27+M27</f>
        <v>16.8</v>
      </c>
      <c r="O27" s="14" t="n">
        <f aca="false">N(base!T27)</f>
        <v>5</v>
      </c>
      <c r="P27" s="6" t="n">
        <f aca="false">IFERROR(J27/O27,0)</f>
        <v>1.6</v>
      </c>
      <c r="Q27" s="6" t="n">
        <f aca="false">IFERROR(N27/O27,0)</f>
        <v>3.36</v>
      </c>
      <c r="R27" s="6" t="n">
        <f aca="false">Parametros!$B$3*I27+Parametros!$B$4*P27</f>
        <v>0.73</v>
      </c>
      <c r="S27" s="6" t="n">
        <f aca="false">Parametros!$B$3*I27+Parametros!$B$4*Q27</f>
        <v>1.258</v>
      </c>
      <c r="T27" s="4" t="str">
        <f aca="false">IF(S27&lt;tablas!$C$3,"No activa",INDEX(tablas!$B$3:$B$8,MATCH(S27,tablas!$C$3:$C$8,1)))</f>
        <v>N5</v>
      </c>
      <c r="U27" s="15" t="n">
        <f aca="false">IF(S27&lt;tablas!$C$3,0,INDEX(tablas!$D$3:$D$8,MATCH(S27,tablas!$C$3:$C$8,1)))</f>
        <v>1.5</v>
      </c>
      <c r="V27" s="16" t="n">
        <f aca="false">N(base!AQ27)</f>
        <v>573</v>
      </c>
      <c r="W27" s="7" t="n">
        <f aca="false">U27*V27</f>
        <v>859.5</v>
      </c>
      <c r="X27" s="4" t="str">
        <f aca="false">IF(R27&lt;tablas!$C$3,"No activa",INDEX(tablas!$B$3:$B$8,MATCH(R27,tablas!$C$3:$C$8,1)))</f>
        <v>No activa</v>
      </c>
      <c r="Y27" s="7" t="n">
        <f aca="false">IF(R27&lt;tablas!$C$3,0,INDEX(tablas!$D$3:$D$8,MATCH(R27,tablas!$C$3:$C$8,1)))*V27</f>
        <v>0</v>
      </c>
      <c r="Z27" s="4" t="str">
        <f aca="false">IF(S27&gt;=tablas!$C$3,"Activa",IF(S27&gt;=Parametros!$B$5,"Cerca","No activa"))</f>
        <v>Activa</v>
      </c>
      <c r="AA27" s="6" t="n">
        <f aca="false">MAX(0,tablas!$C$3-S27)</f>
        <v>0</v>
      </c>
    </row>
    <row r="28" customFormat="false" ht="15" hidden="false" customHeight="false" outlineLevel="0" collapsed="false">
      <c r="A28" s="14" t="str">
        <f aca="false">base!A28</f>
        <v>77137830-2</v>
      </c>
      <c r="B28" s="14" t="str">
        <f aca="false">base!E28</f>
        <v>Chattigo</v>
      </c>
      <c r="C28" s="14" t="str">
        <f aca="false">base!D28</f>
        <v>Inbound</v>
      </c>
      <c r="D28" s="14" t="str">
        <f aca="false">base!F28</f>
        <v>CARLOS GARCIA MORALES</v>
      </c>
      <c r="E28" s="14" t="str">
        <f aca="false">base!G28</f>
        <v>YEISON ROJAS INGOL</v>
      </c>
      <c r="F28" s="14" t="n">
        <f aca="false">N(base!O28)</f>
        <v>1</v>
      </c>
      <c r="G28" s="4" t="n">
        <f aca="false">SUM(base!U28:AF28)+N(base!AK28)</f>
        <v>10</v>
      </c>
      <c r="H28" s="14" t="n">
        <f aca="false">N(base!S28)</f>
        <v>30</v>
      </c>
      <c r="I28" s="6" t="n">
        <f aca="false">IFERROR(G28/H28,0)</f>
        <v>0.333333333333333</v>
      </c>
      <c r="J28" s="4" t="n">
        <f aca="false">SUM(base!AG28:AJ28)</f>
        <v>9</v>
      </c>
      <c r="K28" s="5" t="n">
        <f aca="false">IFERROR((base!AG28+base!AH28)/(base!K28+base!L28),0)</f>
        <v>3.5</v>
      </c>
      <c r="L28" s="5" t="n">
        <f aca="false">MAX(N(base!AI28),K28*N(base!M28))</f>
        <v>3.5</v>
      </c>
      <c r="M28" s="5" t="n">
        <f aca="false">MAX(N(base!AJ28),K28*N(base!N28))</f>
        <v>3.5</v>
      </c>
      <c r="N28" s="5" t="n">
        <f aca="false">base!AG28+base!AH28+L28+M28</f>
        <v>14</v>
      </c>
      <c r="O28" s="14" t="n">
        <f aca="false">N(base!T28)</f>
        <v>10</v>
      </c>
      <c r="P28" s="6" t="n">
        <f aca="false">IFERROR(J28/O28,0)</f>
        <v>0.9</v>
      </c>
      <c r="Q28" s="6" t="n">
        <f aca="false">IFERROR(N28/O28,0)</f>
        <v>1.4</v>
      </c>
      <c r="R28" s="6" t="n">
        <f aca="false">Parametros!$B$3*I28+Parametros!$B$4*P28</f>
        <v>0.503333333333333</v>
      </c>
      <c r="S28" s="6" t="n">
        <f aca="false">Parametros!$B$3*I28+Parametros!$B$4*Q28</f>
        <v>0.653333333333333</v>
      </c>
      <c r="T28" s="4" t="str">
        <f aca="false">IF(S28&lt;tablas!$C$3,"No activa",INDEX(tablas!$B$3:$B$8,MATCH(S28,tablas!$C$3:$C$8,1)))</f>
        <v>No activa</v>
      </c>
      <c r="U28" s="15" t="n">
        <f aca="false">IF(S28&lt;tablas!$C$3,0,INDEX(tablas!$D$3:$D$8,MATCH(S28,tablas!$C$3:$C$8,1)))</f>
        <v>0</v>
      </c>
      <c r="V28" s="16" t="n">
        <f aca="false">N(base!AQ28)</f>
        <v>1200</v>
      </c>
      <c r="W28" s="7" t="n">
        <f aca="false">U28*V28</f>
        <v>0</v>
      </c>
      <c r="X28" s="4" t="str">
        <f aca="false">IF(R28&lt;tablas!$C$3,"No activa",INDEX(tablas!$B$3:$B$8,MATCH(R28,tablas!$C$3:$C$8,1)))</f>
        <v>No activa</v>
      </c>
      <c r="Y28" s="7" t="n">
        <f aca="false">IF(R28&lt;tablas!$C$3,0,INDEX(tablas!$D$3:$D$8,MATCH(R28,tablas!$C$3:$C$8,1)))*V28</f>
        <v>0</v>
      </c>
      <c r="Z28" s="4" t="str">
        <f aca="false">IF(S28&gt;=tablas!$C$3,"Activa",IF(S28&gt;=Parametros!$B$5,"Cerca","No activa"))</f>
        <v>No activa</v>
      </c>
      <c r="AA28" s="6" t="n">
        <f aca="false">MAX(0,tablas!$C$3-S28)</f>
        <v>0.146666666666667</v>
      </c>
    </row>
    <row r="29" customFormat="false" ht="15" hidden="false" customHeight="false" outlineLevel="0" collapsed="false">
      <c r="A29" s="14" t="str">
        <f aca="false">base!A29</f>
        <v>73369531-1</v>
      </c>
      <c r="B29" s="14" t="str">
        <f aca="false">base!E29</f>
        <v>Chattigo</v>
      </c>
      <c r="C29" s="14" t="str">
        <f aca="false">base!D29</f>
        <v>Inbound</v>
      </c>
      <c r="D29" s="14" t="str">
        <f aca="false">base!F29</f>
        <v>CARLOS GARCIA MORALES</v>
      </c>
      <c r="E29" s="14" t="str">
        <f aca="false">base!G29</f>
        <v>YEISON ROJAS INGOL</v>
      </c>
      <c r="F29" s="14" t="n">
        <f aca="false">N(base!O29)</f>
        <v>0.5</v>
      </c>
      <c r="G29" s="4" t="n">
        <f aca="false">SUM(base!U29:AF29)+N(base!AK29)</f>
        <v>1</v>
      </c>
      <c r="H29" s="14" t="n">
        <f aca="false">N(base!S29)</f>
        <v>15</v>
      </c>
      <c r="I29" s="6" t="n">
        <f aca="false">IFERROR(G29/H29,0)</f>
        <v>0.0666666666666667</v>
      </c>
      <c r="J29" s="4" t="n">
        <f aca="false">SUM(base!AG29:AJ29)</f>
        <v>9</v>
      </c>
      <c r="K29" s="5" t="n">
        <f aca="false">IFERROR((base!AG29+base!AH29)/(base!K29+base!L29),0)</f>
        <v>4.5</v>
      </c>
      <c r="L29" s="5" t="n">
        <f aca="false">MAX(N(base!AI29),K29*N(base!M29))</f>
        <v>0</v>
      </c>
      <c r="M29" s="5" t="n">
        <f aca="false">MAX(N(base!AJ29),K29*N(base!N29))</f>
        <v>0</v>
      </c>
      <c r="N29" s="5" t="n">
        <f aca="false">base!AG29+base!AH29+L29+M29</f>
        <v>9</v>
      </c>
      <c r="O29" s="14" t="n">
        <f aca="false">N(base!T29)</f>
        <v>6</v>
      </c>
      <c r="P29" s="6" t="n">
        <f aca="false">IFERROR(J29/O29,0)</f>
        <v>1.5</v>
      </c>
      <c r="Q29" s="6" t="n">
        <f aca="false">IFERROR(N29/O29,0)</f>
        <v>1.5</v>
      </c>
      <c r="R29" s="6" t="n">
        <f aca="false">Parametros!$B$3*I29+Parametros!$B$4*P29</f>
        <v>0.496666666666667</v>
      </c>
      <c r="S29" s="6" t="n">
        <f aca="false">Parametros!$B$3*I29+Parametros!$B$4*Q29</f>
        <v>0.496666666666667</v>
      </c>
      <c r="T29" s="4" t="str">
        <f aca="false">IF(S29&lt;tablas!$C$3,"No activa",INDEX(tablas!$B$3:$B$8,MATCH(S29,tablas!$C$3:$C$8,1)))</f>
        <v>No activa</v>
      </c>
      <c r="U29" s="15" t="n">
        <f aca="false">IF(S29&lt;tablas!$C$3,0,INDEX(tablas!$D$3:$D$8,MATCH(S29,tablas!$C$3:$C$8,1)))</f>
        <v>0</v>
      </c>
      <c r="V29" s="16" t="n">
        <f aca="false">N(base!AQ29)</f>
        <v>600</v>
      </c>
      <c r="W29" s="7" t="n">
        <f aca="false">U29*V29</f>
        <v>0</v>
      </c>
      <c r="X29" s="4" t="str">
        <f aca="false">IF(R29&lt;tablas!$C$3,"No activa",INDEX(tablas!$B$3:$B$8,MATCH(R29,tablas!$C$3:$C$8,1)))</f>
        <v>No activa</v>
      </c>
      <c r="Y29" s="7" t="n">
        <f aca="false">IF(R29&lt;tablas!$C$3,0,INDEX(tablas!$D$3:$D$8,MATCH(R29,tablas!$C$3:$C$8,1)))*V29</f>
        <v>0</v>
      </c>
      <c r="Z29" s="4" t="str">
        <f aca="false">IF(S29&gt;=tablas!$C$3,"Activa",IF(S29&gt;=Parametros!$B$5,"Cerca","No activa"))</f>
        <v>No activa</v>
      </c>
      <c r="AA29" s="6" t="n">
        <f aca="false">MAX(0,tablas!$C$3-S29)</f>
        <v>0.303333333333333</v>
      </c>
    </row>
    <row r="30" customFormat="false" ht="15" hidden="false" customHeight="false" outlineLevel="0" collapsed="false">
      <c r="A30" s="14" t="str">
        <f aca="false">base!A30</f>
        <v>48654783-4</v>
      </c>
      <c r="B30" s="14" t="str">
        <f aca="false">base!E30</f>
        <v>Chattigo</v>
      </c>
      <c r="C30" s="14" t="str">
        <f aca="false">base!D30</f>
        <v>Inbound</v>
      </c>
      <c r="D30" s="14" t="str">
        <f aca="false">base!F30</f>
        <v>MAITE PEÑA VALLE</v>
      </c>
      <c r="E30" s="14" t="str">
        <f aca="false">base!G30</f>
        <v>YEISON ROJAS INGOL</v>
      </c>
      <c r="F30" s="14" t="n">
        <f aca="false">N(base!O30)</f>
        <v>1</v>
      </c>
      <c r="G30" s="4" t="n">
        <f aca="false">SUM(base!U30:AF30)+N(base!AK30)</f>
        <v>16</v>
      </c>
      <c r="H30" s="14" t="n">
        <f aca="false">N(base!S30)</f>
        <v>30</v>
      </c>
      <c r="I30" s="6" t="n">
        <f aca="false">IFERROR(G30/H30,0)</f>
        <v>0.533333333333333</v>
      </c>
      <c r="J30" s="4" t="n">
        <f aca="false">SUM(base!AG30:AJ30)</f>
        <v>9</v>
      </c>
      <c r="K30" s="5" t="n">
        <f aca="false">IFERROR((base!AG30+base!AH30)/(base!K30+base!L30),0)</f>
        <v>4</v>
      </c>
      <c r="L30" s="5" t="n">
        <f aca="false">MAX(N(base!AI30),K30*N(base!M30))</f>
        <v>4</v>
      </c>
      <c r="M30" s="5" t="n">
        <f aca="false">MAX(N(base!AJ30),K30*N(base!N30))</f>
        <v>4</v>
      </c>
      <c r="N30" s="5" t="n">
        <f aca="false">base!AG30+base!AH30+L30+M30</f>
        <v>16</v>
      </c>
      <c r="O30" s="14" t="n">
        <f aca="false">N(base!T30)</f>
        <v>11</v>
      </c>
      <c r="P30" s="6" t="n">
        <f aca="false">IFERROR(J30/O30,0)</f>
        <v>0.818181818181818</v>
      </c>
      <c r="Q30" s="6" t="n">
        <f aca="false">IFERROR(N30/O30,0)</f>
        <v>1.45454545454545</v>
      </c>
      <c r="R30" s="6" t="n">
        <f aca="false">Parametros!$B$3*I30+Parametros!$B$4*P30</f>
        <v>0.618787878787879</v>
      </c>
      <c r="S30" s="6" t="n">
        <f aca="false">Parametros!$B$3*I30+Parametros!$B$4*Q30</f>
        <v>0.80969696969697</v>
      </c>
      <c r="T30" s="4" t="str">
        <f aca="false">IF(S30&lt;tablas!$C$3,"No activa",INDEX(tablas!$B$3:$B$8,MATCH(S30,tablas!$C$3:$C$8,1)))</f>
        <v>N1</v>
      </c>
      <c r="U30" s="15" t="n">
        <f aca="false">IF(S30&lt;tablas!$C$3,0,INDEX(tablas!$D$3:$D$8,MATCH(S30,tablas!$C$3:$C$8,1)))</f>
        <v>0.3</v>
      </c>
      <c r="V30" s="16" t="n">
        <f aca="false">N(base!AQ30)</f>
        <v>1200</v>
      </c>
      <c r="W30" s="7" t="n">
        <f aca="false">U30*V30</f>
        <v>360</v>
      </c>
      <c r="X30" s="4" t="str">
        <f aca="false">IF(R30&lt;tablas!$C$3,"No activa",INDEX(tablas!$B$3:$B$8,MATCH(R30,tablas!$C$3:$C$8,1)))</f>
        <v>No activa</v>
      </c>
      <c r="Y30" s="7" t="n">
        <f aca="false">IF(R30&lt;tablas!$C$3,0,INDEX(tablas!$D$3:$D$8,MATCH(R30,tablas!$C$3:$C$8,1)))*V30</f>
        <v>0</v>
      </c>
      <c r="Z30" s="4" t="str">
        <f aca="false">IF(S30&gt;=tablas!$C$3,"Activa",IF(S30&gt;=Parametros!$B$5,"Cerca","No activa"))</f>
        <v>Activa</v>
      </c>
      <c r="AA30" s="6" t="n">
        <f aca="false">MAX(0,tablas!$C$3-S30)</f>
        <v>0</v>
      </c>
    </row>
    <row r="31" customFormat="false" ht="15" hidden="false" customHeight="false" outlineLevel="0" collapsed="false">
      <c r="A31" s="14" t="str">
        <f aca="false">base!A31</f>
        <v>47522603-3</v>
      </c>
      <c r="B31" s="14" t="str">
        <f aca="false">base!E31</f>
        <v>Chattigo</v>
      </c>
      <c r="C31" s="14" t="str">
        <f aca="false">base!D31</f>
        <v>Inbound</v>
      </c>
      <c r="D31" s="14" t="str">
        <f aca="false">base!F31</f>
        <v>MAITE PEÑA VALLE</v>
      </c>
      <c r="E31" s="14" t="str">
        <f aca="false">base!G31</f>
        <v>YEISON ROJAS INGOL</v>
      </c>
      <c r="F31" s="14" t="n">
        <f aca="false">N(base!O31)</f>
        <v>1</v>
      </c>
      <c r="G31" s="4" t="n">
        <f aca="false">SUM(base!U31:AF31)+N(base!AK31)</f>
        <v>8</v>
      </c>
      <c r="H31" s="14" t="n">
        <f aca="false">N(base!S31)</f>
        <v>30</v>
      </c>
      <c r="I31" s="6" t="n">
        <f aca="false">IFERROR(G31/H31,0)</f>
        <v>0.266666666666667</v>
      </c>
      <c r="J31" s="4" t="n">
        <f aca="false">SUM(base!AG31:AJ31)</f>
        <v>16</v>
      </c>
      <c r="K31" s="5" t="n">
        <f aca="false">IFERROR((base!AG31+base!AH31)/(base!K31+base!L31),0)</f>
        <v>7.5</v>
      </c>
      <c r="L31" s="5" t="n">
        <f aca="false">MAX(N(base!AI31),K31*N(base!M31))</f>
        <v>7.5</v>
      </c>
      <c r="M31" s="5" t="n">
        <f aca="false">MAX(N(base!AJ31),K31*N(base!N31))</f>
        <v>7.5</v>
      </c>
      <c r="N31" s="5" t="n">
        <f aca="false">base!AG31+base!AH31+L31+M31</f>
        <v>30</v>
      </c>
      <c r="O31" s="14" t="n">
        <f aca="false">N(base!T31)</f>
        <v>11</v>
      </c>
      <c r="P31" s="6" t="n">
        <f aca="false">IFERROR(J31/O31,0)</f>
        <v>1.45454545454545</v>
      </c>
      <c r="Q31" s="6" t="n">
        <f aca="false">IFERROR(N31/O31,0)</f>
        <v>2.72727272727273</v>
      </c>
      <c r="R31" s="6" t="n">
        <f aca="false">Parametros!$B$3*I31+Parametros!$B$4*P31</f>
        <v>0.623030303030303</v>
      </c>
      <c r="S31" s="6" t="n">
        <f aca="false">Parametros!$B$3*I31+Parametros!$B$4*Q31</f>
        <v>1.00484848484848</v>
      </c>
      <c r="T31" s="4" t="str">
        <f aca="false">IF(S31&lt;tablas!$C$3,"No activa",INDEX(tablas!$B$3:$B$8,MATCH(S31,tablas!$C$3:$C$8,1)))</f>
        <v>N3</v>
      </c>
      <c r="U31" s="15" t="n">
        <f aca="false">IF(S31&lt;tablas!$C$3,0,INDEX(tablas!$D$3:$D$8,MATCH(S31,tablas!$C$3:$C$8,1)))</f>
        <v>1</v>
      </c>
      <c r="V31" s="16" t="n">
        <f aca="false">N(base!AQ31)</f>
        <v>1200</v>
      </c>
      <c r="W31" s="7" t="n">
        <f aca="false">U31*V31</f>
        <v>1200</v>
      </c>
      <c r="X31" s="4" t="str">
        <f aca="false">IF(R31&lt;tablas!$C$3,"No activa",INDEX(tablas!$B$3:$B$8,MATCH(R31,tablas!$C$3:$C$8,1)))</f>
        <v>No activa</v>
      </c>
      <c r="Y31" s="7" t="n">
        <f aca="false">IF(R31&lt;tablas!$C$3,0,INDEX(tablas!$D$3:$D$8,MATCH(R31,tablas!$C$3:$C$8,1)))*V31</f>
        <v>0</v>
      </c>
      <c r="Z31" s="4" t="str">
        <f aca="false">IF(S31&gt;=tablas!$C$3,"Activa",IF(S31&gt;=Parametros!$B$5,"Cerca","No activa"))</f>
        <v>Activa</v>
      </c>
      <c r="AA31" s="6" t="n">
        <f aca="false">MAX(0,tablas!$C$3-S31)</f>
        <v>0</v>
      </c>
    </row>
    <row r="32" customFormat="false" ht="15" hidden="false" customHeight="false" outlineLevel="0" collapsed="false">
      <c r="A32" s="14" t="str">
        <f aca="false">base!A32</f>
        <v>47308970-5</v>
      </c>
      <c r="B32" s="14" t="str">
        <f aca="false">base!E32</f>
        <v>Chattigo</v>
      </c>
      <c r="C32" s="14" t="str">
        <f aca="false">base!D32</f>
        <v>Inbound</v>
      </c>
      <c r="D32" s="14" t="str">
        <f aca="false">base!F32</f>
        <v>CARLOS GARCIA MORALES</v>
      </c>
      <c r="E32" s="14" t="str">
        <f aca="false">base!G32</f>
        <v>YEISON ROJAS INGOL</v>
      </c>
      <c r="F32" s="14" t="n">
        <f aca="false">N(base!O32)</f>
        <v>1</v>
      </c>
      <c r="G32" s="4" t="n">
        <f aca="false">SUM(base!U32:AF32)+N(base!AK32)</f>
        <v>6</v>
      </c>
      <c r="H32" s="14" t="n">
        <f aca="false">N(base!S32)</f>
        <v>30</v>
      </c>
      <c r="I32" s="6" t="n">
        <f aca="false">IFERROR(G32/H32,0)</f>
        <v>0.2</v>
      </c>
      <c r="J32" s="4" t="n">
        <f aca="false">SUM(base!AG32:AJ32)</f>
        <v>4</v>
      </c>
      <c r="K32" s="5" t="n">
        <f aca="false">IFERROR((base!AG32+base!AH32)/(base!K32+base!L32),0)</f>
        <v>1.5</v>
      </c>
      <c r="L32" s="5" t="n">
        <f aca="false">MAX(N(base!AI32),K32*N(base!M32))</f>
        <v>1.5</v>
      </c>
      <c r="M32" s="5" t="n">
        <f aca="false">MAX(N(base!AJ32),K32*N(base!N32))</f>
        <v>1.5</v>
      </c>
      <c r="N32" s="5" t="n">
        <f aca="false">base!AG32+base!AH32+L32+M32</f>
        <v>6</v>
      </c>
      <c r="O32" s="14" t="n">
        <f aca="false">N(base!T32)</f>
        <v>12</v>
      </c>
      <c r="P32" s="6" t="n">
        <f aca="false">IFERROR(J32/O32,0)</f>
        <v>0.333333333333333</v>
      </c>
      <c r="Q32" s="6" t="n">
        <f aca="false">IFERROR(N32/O32,0)</f>
        <v>0.5</v>
      </c>
      <c r="R32" s="6" t="n">
        <f aca="false">Parametros!$B$3*I32+Parametros!$B$4*P32</f>
        <v>0.24</v>
      </c>
      <c r="S32" s="6" t="n">
        <f aca="false">Parametros!$B$3*I32+Parametros!$B$4*Q32</f>
        <v>0.29</v>
      </c>
      <c r="T32" s="4" t="str">
        <f aca="false">IF(S32&lt;tablas!$C$3,"No activa",INDEX(tablas!$B$3:$B$8,MATCH(S32,tablas!$C$3:$C$8,1)))</f>
        <v>No activa</v>
      </c>
      <c r="U32" s="15" t="n">
        <f aca="false">IF(S32&lt;tablas!$C$3,0,INDEX(tablas!$D$3:$D$8,MATCH(S32,tablas!$C$3:$C$8,1)))</f>
        <v>0</v>
      </c>
      <c r="V32" s="16" t="n">
        <f aca="false">N(base!AQ32)</f>
        <v>1200</v>
      </c>
      <c r="W32" s="7" t="n">
        <f aca="false">U32*V32</f>
        <v>0</v>
      </c>
      <c r="X32" s="4" t="str">
        <f aca="false">IF(R32&lt;tablas!$C$3,"No activa",INDEX(tablas!$B$3:$B$8,MATCH(R32,tablas!$C$3:$C$8,1)))</f>
        <v>No activa</v>
      </c>
      <c r="Y32" s="7" t="n">
        <f aca="false">IF(R32&lt;tablas!$C$3,0,INDEX(tablas!$D$3:$D$8,MATCH(R32,tablas!$C$3:$C$8,1)))*V32</f>
        <v>0</v>
      </c>
      <c r="Z32" s="4" t="str">
        <f aca="false">IF(S32&gt;=tablas!$C$3,"Activa",IF(S32&gt;=Parametros!$B$5,"Cerca","No activa"))</f>
        <v>No activa</v>
      </c>
      <c r="AA32" s="6" t="n">
        <f aca="false">MAX(0,tablas!$C$3-S32)</f>
        <v>0.51</v>
      </c>
    </row>
    <row r="33" customFormat="false" ht="15" hidden="false" customHeight="false" outlineLevel="0" collapsed="false">
      <c r="A33" s="14" t="str">
        <f aca="false">base!A33</f>
        <v>77051043-6</v>
      </c>
      <c r="B33" s="14" t="str">
        <f aca="false">base!E33</f>
        <v>Chattigo</v>
      </c>
      <c r="C33" s="14" t="str">
        <f aca="false">base!D33</f>
        <v>Inbound</v>
      </c>
      <c r="D33" s="14" t="str">
        <f aca="false">base!F33</f>
        <v>MAITE PEÑA VALLE</v>
      </c>
      <c r="E33" s="14" t="str">
        <f aca="false">base!G33</f>
        <v>YEISON ROJAS INGOL</v>
      </c>
      <c r="F33" s="14" t="n">
        <f aca="false">N(base!O33)</f>
        <v>0.409090909090909</v>
      </c>
      <c r="G33" s="4" t="n">
        <f aca="false">SUM(base!U33:AF33)+N(base!AK33)</f>
        <v>21</v>
      </c>
      <c r="H33" s="14" t="n">
        <f aca="false">N(base!S33)</f>
        <v>12</v>
      </c>
      <c r="I33" s="6" t="n">
        <f aca="false">IFERROR(G33/H33,0)</f>
        <v>1.75</v>
      </c>
      <c r="J33" s="4" t="n">
        <f aca="false">SUM(base!AG33:AJ33)</f>
        <v>2</v>
      </c>
      <c r="K33" s="5" t="n">
        <f aca="false">IFERROR((base!AG33+base!AH33)/(base!K33+base!L33),0)</f>
        <v>0</v>
      </c>
      <c r="L33" s="5" t="n">
        <f aca="false">MAX(N(base!AI33),K33*N(base!M33))</f>
        <v>0</v>
      </c>
      <c r="M33" s="5" t="n">
        <f aca="false">MAX(N(base!AJ33),K33*N(base!N33))</f>
        <v>0</v>
      </c>
      <c r="N33" s="5" t="n">
        <f aca="false">base!AG33+base!AH33+L33+M33</f>
        <v>2</v>
      </c>
      <c r="O33" s="14" t="n">
        <f aca="false">N(base!T33)</f>
        <v>3</v>
      </c>
      <c r="P33" s="6" t="n">
        <f aca="false">IFERROR(J33/O33,0)</f>
        <v>0.666666666666667</v>
      </c>
      <c r="Q33" s="6" t="n">
        <f aca="false">IFERROR(N33/O33,0)</f>
        <v>0.666666666666667</v>
      </c>
      <c r="R33" s="6" t="n">
        <f aca="false">Parametros!$B$3*I33+Parametros!$B$4*P33</f>
        <v>1.425</v>
      </c>
      <c r="S33" s="6" t="n">
        <f aca="false">Parametros!$B$3*I33+Parametros!$B$4*Q33</f>
        <v>1.425</v>
      </c>
      <c r="T33" s="4" t="str">
        <f aca="false">IF(S33&lt;tablas!$C$3,"No activa",INDEX(tablas!$B$3:$B$8,MATCH(S33,tablas!$C$3:$C$8,1)))</f>
        <v>N6</v>
      </c>
      <c r="U33" s="15" t="n">
        <f aca="false">IF(S33&lt;tablas!$C$3,0,INDEX(tablas!$D$3:$D$8,MATCH(S33,tablas!$C$3:$C$8,1)))</f>
        <v>2</v>
      </c>
      <c r="V33" s="16" t="n">
        <f aca="false">N(base!AQ33)</f>
        <v>491</v>
      </c>
      <c r="W33" s="7" t="n">
        <f aca="false">U33*V33</f>
        <v>982</v>
      </c>
      <c r="X33" s="4" t="str">
        <f aca="false">IF(R33&lt;tablas!$C$3,"No activa",INDEX(tablas!$B$3:$B$8,MATCH(R33,tablas!$C$3:$C$8,1)))</f>
        <v>N6</v>
      </c>
      <c r="Y33" s="7" t="n">
        <f aca="false">IF(R33&lt;tablas!$C$3,0,INDEX(tablas!$D$3:$D$8,MATCH(R33,tablas!$C$3:$C$8,1)))*V33</f>
        <v>982</v>
      </c>
      <c r="Z33" s="4" t="str">
        <f aca="false">IF(S33&gt;=tablas!$C$3,"Activa",IF(S33&gt;=Parametros!$B$5,"Cerca","No activa"))</f>
        <v>Activa</v>
      </c>
      <c r="AA33" s="6" t="n">
        <f aca="false">MAX(0,tablas!$C$3-S33)</f>
        <v>0</v>
      </c>
    </row>
    <row r="34" customFormat="false" ht="15" hidden="false" customHeight="false" outlineLevel="0" collapsed="false">
      <c r="A34" s="14" t="str">
        <f aca="false">base!A34</f>
        <v>70876676-9</v>
      </c>
      <c r="B34" s="14" t="str">
        <f aca="false">base!E34</f>
        <v>Inbound Premium</v>
      </c>
      <c r="C34" s="14" t="str">
        <f aca="false">base!D34</f>
        <v>Inbound</v>
      </c>
      <c r="D34" s="14" t="str">
        <f aca="false">base!F34</f>
        <v>CHRISTIAN ESPEJO BRICEÑO</v>
      </c>
      <c r="E34" s="14" t="str">
        <f aca="false">base!G34</f>
        <v>KARLA SUERO PALOMINO</v>
      </c>
      <c r="F34" s="14" t="n">
        <f aca="false">N(base!O34)</f>
        <v>1</v>
      </c>
      <c r="G34" s="4" t="n">
        <f aca="false">SUM(base!U34:AF34)+N(base!AK34)</f>
        <v>14</v>
      </c>
      <c r="H34" s="14" t="n">
        <f aca="false">N(base!S34)</f>
        <v>16</v>
      </c>
      <c r="I34" s="6" t="n">
        <f aca="false">IFERROR(G34/H34,0)</f>
        <v>0.875</v>
      </c>
      <c r="J34" s="4" t="n">
        <f aca="false">SUM(base!AG34:AJ34)</f>
        <v>10</v>
      </c>
      <c r="K34" s="5" t="n">
        <f aca="false">IFERROR((base!AG34+base!AH34)/(base!K34+base!L34),0)</f>
        <v>4.5</v>
      </c>
      <c r="L34" s="5" t="n">
        <f aca="false">MAX(N(base!AI34),K34*N(base!M34))</f>
        <v>4.5</v>
      </c>
      <c r="M34" s="5" t="n">
        <f aca="false">MAX(N(base!AJ34),K34*N(base!N34))</f>
        <v>4.5</v>
      </c>
      <c r="N34" s="5" t="n">
        <f aca="false">base!AG34+base!AH34+L34+M34</f>
        <v>18</v>
      </c>
      <c r="O34" s="14" t="n">
        <f aca="false">N(base!T34)</f>
        <v>6</v>
      </c>
      <c r="P34" s="6" t="n">
        <f aca="false">IFERROR(J34/O34,0)</f>
        <v>1.66666666666667</v>
      </c>
      <c r="Q34" s="6" t="n">
        <f aca="false">IFERROR(N34/O34,0)</f>
        <v>3</v>
      </c>
      <c r="R34" s="6" t="n">
        <f aca="false">Parametros!$B$3*I34+Parametros!$B$4*P34</f>
        <v>1.1125</v>
      </c>
      <c r="S34" s="6" t="n">
        <f aca="false">Parametros!$B$3*I34+Parametros!$B$4*Q34</f>
        <v>1.5125</v>
      </c>
      <c r="T34" s="4" t="str">
        <f aca="false">IF(S34&lt;tablas!$C$3,"No activa",INDEX(tablas!$B$3:$B$8,MATCH(S34,tablas!$C$3:$C$8,1)))</f>
        <v>N6</v>
      </c>
      <c r="U34" s="15" t="n">
        <f aca="false">IF(S34&lt;tablas!$C$3,0,INDEX(tablas!$D$3:$D$8,MATCH(S34,tablas!$C$3:$C$8,1)))</f>
        <v>2</v>
      </c>
      <c r="V34" s="16" t="n">
        <f aca="false">N(base!AQ34)</f>
        <v>1200</v>
      </c>
      <c r="W34" s="7" t="n">
        <f aca="false">U34*V34</f>
        <v>2400</v>
      </c>
      <c r="X34" s="4" t="str">
        <f aca="false">IF(R34&lt;tablas!$C$3,"No activa",INDEX(tablas!$B$3:$B$8,MATCH(R34,tablas!$C$3:$C$8,1)))</f>
        <v>N4</v>
      </c>
      <c r="Y34" s="7" t="n">
        <f aca="false">IF(R34&lt;tablas!$C$3,0,INDEX(tablas!$D$3:$D$8,MATCH(R34,tablas!$C$3:$C$8,1)))*V34</f>
        <v>1560</v>
      </c>
      <c r="Z34" s="4" t="str">
        <f aca="false">IF(S34&gt;=tablas!$C$3,"Activa",IF(S34&gt;=Parametros!$B$5,"Cerca","No activa"))</f>
        <v>Activa</v>
      </c>
      <c r="AA34" s="6" t="n">
        <f aca="false">MAX(0,tablas!$C$3-S34)</f>
        <v>0</v>
      </c>
    </row>
    <row r="35" customFormat="false" ht="15" hidden="false" customHeight="false" outlineLevel="0" collapsed="false">
      <c r="A35" s="14" t="str">
        <f aca="false">base!A35</f>
        <v>46360718-0</v>
      </c>
      <c r="B35" s="14" t="str">
        <f aca="false">base!E35</f>
        <v>Inbound Premium</v>
      </c>
      <c r="C35" s="14" t="str">
        <f aca="false">base!D35</f>
        <v>Inbound</v>
      </c>
      <c r="D35" s="14" t="str">
        <f aca="false">base!F35</f>
        <v>CHRISTIAN ESPEJO BRICEÑO</v>
      </c>
      <c r="E35" s="14" t="str">
        <f aca="false">base!G35</f>
        <v>KARLA SUERO PALOMINO</v>
      </c>
      <c r="F35" s="14" t="n">
        <f aca="false">N(base!O35)</f>
        <v>0.454545454545455</v>
      </c>
      <c r="G35" s="4" t="n">
        <f aca="false">SUM(base!U35:AF35)+N(base!AK35)</f>
        <v>0</v>
      </c>
      <c r="H35" s="14" t="n">
        <f aca="false">N(base!S35)</f>
        <v>7</v>
      </c>
      <c r="I35" s="6" t="n">
        <f aca="false">IFERROR(G35/H35,0)</f>
        <v>0</v>
      </c>
      <c r="J35" s="4" t="n">
        <f aca="false">SUM(base!AG35:AJ35)</f>
        <v>1</v>
      </c>
      <c r="K35" s="5" t="n">
        <f aca="false">IFERROR((base!AG35+base!AH35)/(base!K35+base!L35),0)</f>
        <v>0</v>
      </c>
      <c r="L35" s="5" t="n">
        <f aca="false">MAX(N(base!AI35),K35*N(base!M35))</f>
        <v>0</v>
      </c>
      <c r="M35" s="5" t="n">
        <f aca="false">MAX(N(base!AJ35),K35*N(base!N35))</f>
        <v>0</v>
      </c>
      <c r="N35" s="5" t="n">
        <f aca="false">base!AG35+base!AH35+L35+M35</f>
        <v>1</v>
      </c>
      <c r="O35" s="14" t="n">
        <f aca="false">N(base!T35)</f>
        <v>3</v>
      </c>
      <c r="P35" s="6" t="n">
        <f aca="false">IFERROR(J35/O35,0)</f>
        <v>0.333333333333333</v>
      </c>
      <c r="Q35" s="6" t="n">
        <f aca="false">IFERROR(N35/O35,0)</f>
        <v>0.333333333333333</v>
      </c>
      <c r="R35" s="6" t="n">
        <f aca="false">Parametros!$B$3*I35+Parametros!$B$4*P35</f>
        <v>0.1</v>
      </c>
      <c r="S35" s="6" t="n">
        <f aca="false">Parametros!$B$3*I35+Parametros!$B$4*Q35</f>
        <v>0.1</v>
      </c>
      <c r="T35" s="4" t="str">
        <f aca="false">IF(S35&lt;tablas!$C$3,"No activa",INDEX(tablas!$B$3:$B$8,MATCH(S35,tablas!$C$3:$C$8,1)))</f>
        <v>No activa</v>
      </c>
      <c r="U35" s="15" t="n">
        <f aca="false">IF(S35&lt;tablas!$C$3,0,INDEX(tablas!$D$3:$D$8,MATCH(S35,tablas!$C$3:$C$8,1)))</f>
        <v>0</v>
      </c>
      <c r="V35" s="16" t="n">
        <f aca="false">N(base!AQ35)</f>
        <v>545</v>
      </c>
      <c r="W35" s="7" t="n">
        <f aca="false">U35*V35</f>
        <v>0</v>
      </c>
      <c r="X35" s="4" t="str">
        <f aca="false">IF(R35&lt;tablas!$C$3,"No activa",INDEX(tablas!$B$3:$B$8,MATCH(R35,tablas!$C$3:$C$8,1)))</f>
        <v>No activa</v>
      </c>
      <c r="Y35" s="7" t="n">
        <f aca="false">IF(R35&lt;tablas!$C$3,0,INDEX(tablas!$D$3:$D$8,MATCH(R35,tablas!$C$3:$C$8,1)))*V35</f>
        <v>0</v>
      </c>
      <c r="Z35" s="4" t="str">
        <f aca="false">IF(S35&gt;=tablas!$C$3,"Activa",IF(S35&gt;=Parametros!$B$5,"Cerca","No activa"))</f>
        <v>No activa</v>
      </c>
      <c r="AA35" s="6" t="n">
        <f aca="false">MAX(0,tablas!$C$3-S35)</f>
        <v>0.7</v>
      </c>
    </row>
    <row r="36" customFormat="false" ht="15" hidden="false" customHeight="false" outlineLevel="0" collapsed="false">
      <c r="A36" s="14" t="str">
        <f aca="false">base!A36</f>
        <v>72895784-6</v>
      </c>
      <c r="B36" s="14" t="str">
        <f aca="false">base!E36</f>
        <v>Inbound Premium</v>
      </c>
      <c r="C36" s="14" t="str">
        <f aca="false">base!D36</f>
        <v>Inbound</v>
      </c>
      <c r="D36" s="14" t="str">
        <f aca="false">base!F36</f>
        <v>CHRISTIAN ESPEJO BRICEÑO</v>
      </c>
      <c r="E36" s="14" t="str">
        <f aca="false">base!G36</f>
        <v>KARLA SUERO PALOMINO</v>
      </c>
      <c r="F36" s="14" t="n">
        <f aca="false">N(base!O36)</f>
        <v>1</v>
      </c>
      <c r="G36" s="4" t="n">
        <f aca="false">SUM(base!U36:AF36)+N(base!AK36)</f>
        <v>5</v>
      </c>
      <c r="H36" s="14" t="n">
        <f aca="false">N(base!S36)</f>
        <v>16</v>
      </c>
      <c r="I36" s="6" t="n">
        <f aca="false">IFERROR(G36/H36,0)</f>
        <v>0.3125</v>
      </c>
      <c r="J36" s="4" t="n">
        <f aca="false">SUM(base!AG36:AJ36)</f>
        <v>3</v>
      </c>
      <c r="K36" s="5" t="n">
        <f aca="false">IFERROR((base!AG36+base!AH36)/(base!K36+base!L36),0)</f>
        <v>1.5</v>
      </c>
      <c r="L36" s="5" t="n">
        <f aca="false">MAX(N(base!AI36),K36*N(base!M36))</f>
        <v>1.5</v>
      </c>
      <c r="M36" s="5" t="n">
        <f aca="false">MAX(N(base!AJ36),K36*N(base!N36))</f>
        <v>1.5</v>
      </c>
      <c r="N36" s="5" t="n">
        <f aca="false">base!AG36+base!AH36+L36+M36</f>
        <v>6</v>
      </c>
      <c r="O36" s="14" t="n">
        <f aca="false">N(base!T36)</f>
        <v>6</v>
      </c>
      <c r="P36" s="6" t="n">
        <f aca="false">IFERROR(J36/O36,0)</f>
        <v>0.5</v>
      </c>
      <c r="Q36" s="6" t="n">
        <f aca="false">IFERROR(N36/O36,0)</f>
        <v>1</v>
      </c>
      <c r="R36" s="6" t="n">
        <f aca="false">Parametros!$B$3*I36+Parametros!$B$4*P36</f>
        <v>0.36875</v>
      </c>
      <c r="S36" s="6" t="n">
        <f aca="false">Parametros!$B$3*I36+Parametros!$B$4*Q36</f>
        <v>0.51875</v>
      </c>
      <c r="T36" s="4" t="str">
        <f aca="false">IF(S36&lt;tablas!$C$3,"No activa",INDEX(tablas!$B$3:$B$8,MATCH(S36,tablas!$C$3:$C$8,1)))</f>
        <v>No activa</v>
      </c>
      <c r="U36" s="15" t="n">
        <f aca="false">IF(S36&lt;tablas!$C$3,0,INDEX(tablas!$D$3:$D$8,MATCH(S36,tablas!$C$3:$C$8,1)))</f>
        <v>0</v>
      </c>
      <c r="V36" s="16" t="n">
        <f aca="false">N(base!AQ36)</f>
        <v>1200</v>
      </c>
      <c r="W36" s="7" t="n">
        <f aca="false">U36*V36</f>
        <v>0</v>
      </c>
      <c r="X36" s="4" t="str">
        <f aca="false">IF(R36&lt;tablas!$C$3,"No activa",INDEX(tablas!$B$3:$B$8,MATCH(R36,tablas!$C$3:$C$8,1)))</f>
        <v>No activa</v>
      </c>
      <c r="Y36" s="7" t="n">
        <f aca="false">IF(R36&lt;tablas!$C$3,0,INDEX(tablas!$D$3:$D$8,MATCH(R36,tablas!$C$3:$C$8,1)))*V36</f>
        <v>0</v>
      </c>
      <c r="Z36" s="4" t="str">
        <f aca="false">IF(S36&gt;=tablas!$C$3,"Activa",IF(S36&gt;=Parametros!$B$5,"Cerca","No activa"))</f>
        <v>No activa</v>
      </c>
      <c r="AA36" s="6" t="n">
        <f aca="false">MAX(0,tablas!$C$3-S36)</f>
        <v>0.28125</v>
      </c>
    </row>
    <row r="37" customFormat="false" ht="15" hidden="false" customHeight="false" outlineLevel="0" collapsed="false">
      <c r="A37" s="14" t="str">
        <f aca="false">base!A37</f>
        <v>44147800-9</v>
      </c>
      <c r="B37" s="14" t="str">
        <f aca="false">base!E37</f>
        <v>Inbound Premium</v>
      </c>
      <c r="C37" s="14" t="str">
        <f aca="false">base!D37</f>
        <v>Inbound</v>
      </c>
      <c r="D37" s="14" t="str">
        <f aca="false">base!F37</f>
        <v>CHRISTIAN ESPEJO BRICEÑO</v>
      </c>
      <c r="E37" s="14" t="str">
        <f aca="false">base!G37</f>
        <v>KARLA SUERO PALOMINO</v>
      </c>
      <c r="F37" s="14" t="n">
        <f aca="false">N(base!O37)</f>
        <v>1</v>
      </c>
      <c r="G37" s="4" t="n">
        <f aca="false">SUM(base!U37:AF37)+N(base!AK37)</f>
        <v>18</v>
      </c>
      <c r="H37" s="14" t="n">
        <f aca="false">N(base!S37)</f>
        <v>16</v>
      </c>
      <c r="I37" s="6" t="n">
        <f aca="false">IFERROR(G37/H37,0)</f>
        <v>1.125</v>
      </c>
      <c r="J37" s="4" t="n">
        <f aca="false">SUM(base!AG37:AJ37)</f>
        <v>6</v>
      </c>
      <c r="K37" s="5" t="n">
        <f aca="false">IFERROR((base!AG37+base!AH37)/(base!K37+base!L37),0)</f>
        <v>2.5</v>
      </c>
      <c r="L37" s="5" t="n">
        <f aca="false">MAX(N(base!AI37),K37*N(base!M37))</f>
        <v>2.5</v>
      </c>
      <c r="M37" s="5" t="n">
        <f aca="false">MAX(N(base!AJ37),K37*N(base!N37))</f>
        <v>2.5</v>
      </c>
      <c r="N37" s="5" t="n">
        <f aca="false">base!AG37+base!AH37+L37+M37</f>
        <v>10</v>
      </c>
      <c r="O37" s="14" t="n">
        <f aca="false">N(base!T37)</f>
        <v>6</v>
      </c>
      <c r="P37" s="6" t="n">
        <f aca="false">IFERROR(J37/O37,0)</f>
        <v>1</v>
      </c>
      <c r="Q37" s="6" t="n">
        <f aca="false">IFERROR(N37/O37,0)</f>
        <v>1.66666666666667</v>
      </c>
      <c r="R37" s="6" t="n">
        <f aca="false">Parametros!$B$3*I37+Parametros!$B$4*P37</f>
        <v>1.0875</v>
      </c>
      <c r="S37" s="6" t="n">
        <f aca="false">Parametros!$B$3*I37+Parametros!$B$4*Q37</f>
        <v>1.2875</v>
      </c>
      <c r="T37" s="4" t="str">
        <f aca="false">IF(S37&lt;tablas!$C$3,"No activa",INDEX(tablas!$B$3:$B$8,MATCH(S37,tablas!$C$3:$C$8,1)))</f>
        <v>N5</v>
      </c>
      <c r="U37" s="15" t="n">
        <f aca="false">IF(S37&lt;tablas!$C$3,0,INDEX(tablas!$D$3:$D$8,MATCH(S37,tablas!$C$3:$C$8,1)))</f>
        <v>1.5</v>
      </c>
      <c r="V37" s="16" t="n">
        <f aca="false">N(base!AQ37)</f>
        <v>1200</v>
      </c>
      <c r="W37" s="7" t="n">
        <f aca="false">U37*V37</f>
        <v>1800</v>
      </c>
      <c r="X37" s="4" t="str">
        <f aca="false">IF(R37&lt;tablas!$C$3,"No activa",INDEX(tablas!$B$3:$B$8,MATCH(R37,tablas!$C$3:$C$8,1)))</f>
        <v>N3</v>
      </c>
      <c r="Y37" s="7" t="n">
        <f aca="false">IF(R37&lt;tablas!$C$3,0,INDEX(tablas!$D$3:$D$8,MATCH(R37,tablas!$C$3:$C$8,1)))*V37</f>
        <v>1200</v>
      </c>
      <c r="Z37" s="4" t="str">
        <f aca="false">IF(S37&gt;=tablas!$C$3,"Activa",IF(S37&gt;=Parametros!$B$5,"Cerca","No activa"))</f>
        <v>Activa</v>
      </c>
      <c r="AA37" s="6" t="n">
        <f aca="false">MAX(0,tablas!$C$3-S37)</f>
        <v>0</v>
      </c>
    </row>
    <row r="38" customFormat="false" ht="15" hidden="false" customHeight="false" outlineLevel="0" collapsed="false">
      <c r="A38" s="14" t="str">
        <f aca="false">base!A38</f>
        <v>45813684-5</v>
      </c>
      <c r="B38" s="14" t="str">
        <f aca="false">base!E38</f>
        <v>Inbound Premium</v>
      </c>
      <c r="C38" s="14" t="str">
        <f aca="false">base!D38</f>
        <v>Inbound</v>
      </c>
      <c r="D38" s="14" t="str">
        <f aca="false">base!F38</f>
        <v>CHRISTIAN ESPEJO BRICEÑO</v>
      </c>
      <c r="E38" s="14" t="str">
        <f aca="false">base!G38</f>
        <v>KARLA SUERO PALOMINO</v>
      </c>
      <c r="F38" s="14" t="n">
        <f aca="false">N(base!O38)</f>
        <v>1</v>
      </c>
      <c r="G38" s="4" t="n">
        <f aca="false">SUM(base!U38:AF38)+N(base!AK38)</f>
        <v>15</v>
      </c>
      <c r="H38" s="14" t="n">
        <f aca="false">N(base!S38)</f>
        <v>16</v>
      </c>
      <c r="I38" s="6" t="n">
        <f aca="false">IFERROR(G38/H38,0)</f>
        <v>0.9375</v>
      </c>
      <c r="J38" s="4" t="n">
        <f aca="false">SUM(base!AG38:AJ38)</f>
        <v>3</v>
      </c>
      <c r="K38" s="5" t="n">
        <f aca="false">IFERROR((base!AG38+base!AH38)/(base!K38+base!L38),0)</f>
        <v>1</v>
      </c>
      <c r="L38" s="5" t="n">
        <f aca="false">MAX(N(base!AI38),K38*N(base!M38))</f>
        <v>1</v>
      </c>
      <c r="M38" s="5" t="n">
        <f aca="false">MAX(N(base!AJ38),K38*N(base!N38))</f>
        <v>1</v>
      </c>
      <c r="N38" s="5" t="n">
        <f aca="false">base!AG38+base!AH38+L38+M38</f>
        <v>4</v>
      </c>
      <c r="O38" s="14" t="n">
        <f aca="false">N(base!T38)</f>
        <v>7</v>
      </c>
      <c r="P38" s="6" t="n">
        <f aca="false">IFERROR(J38/O38,0)</f>
        <v>0.428571428571429</v>
      </c>
      <c r="Q38" s="6" t="n">
        <f aca="false">IFERROR(N38/O38,0)</f>
        <v>0.571428571428571</v>
      </c>
      <c r="R38" s="6" t="n">
        <f aca="false">Parametros!$B$3*I38+Parametros!$B$4*P38</f>
        <v>0.784821428571429</v>
      </c>
      <c r="S38" s="6" t="n">
        <f aca="false">Parametros!$B$3*I38+Parametros!$B$4*Q38</f>
        <v>0.827678571428571</v>
      </c>
      <c r="T38" s="4" t="str">
        <f aca="false">IF(S38&lt;tablas!$C$3,"No activa",INDEX(tablas!$B$3:$B$8,MATCH(S38,tablas!$C$3:$C$8,1)))</f>
        <v>N1</v>
      </c>
      <c r="U38" s="15" t="n">
        <f aca="false">IF(S38&lt;tablas!$C$3,0,INDEX(tablas!$D$3:$D$8,MATCH(S38,tablas!$C$3:$C$8,1)))</f>
        <v>0.3</v>
      </c>
      <c r="V38" s="16" t="n">
        <f aca="false">N(base!AQ38)</f>
        <v>1200</v>
      </c>
      <c r="W38" s="7" t="n">
        <f aca="false">U38*V38</f>
        <v>360</v>
      </c>
      <c r="X38" s="4" t="str">
        <f aca="false">IF(R38&lt;tablas!$C$3,"No activa",INDEX(tablas!$B$3:$B$8,MATCH(R38,tablas!$C$3:$C$8,1)))</f>
        <v>No activa</v>
      </c>
      <c r="Y38" s="7" t="n">
        <f aca="false">IF(R38&lt;tablas!$C$3,0,INDEX(tablas!$D$3:$D$8,MATCH(R38,tablas!$C$3:$C$8,1)))*V38</f>
        <v>0</v>
      </c>
      <c r="Z38" s="4" t="str">
        <f aca="false">IF(S38&gt;=tablas!$C$3,"Activa",IF(S38&gt;=Parametros!$B$5,"Cerca","No activa"))</f>
        <v>Activa</v>
      </c>
      <c r="AA38" s="6" t="n">
        <f aca="false">MAX(0,tablas!$C$3-S38)</f>
        <v>0</v>
      </c>
    </row>
    <row r="39" customFormat="false" ht="15" hidden="false" customHeight="false" outlineLevel="0" collapsed="false">
      <c r="A39" s="14" t="str">
        <f aca="false">base!A39</f>
        <v>46591353-9</v>
      </c>
      <c r="B39" s="14" t="str">
        <f aca="false">base!E39</f>
        <v>Inbound Premium</v>
      </c>
      <c r="C39" s="14" t="str">
        <f aca="false">base!D39</f>
        <v>Inbound</v>
      </c>
      <c r="D39" s="14" t="str">
        <f aca="false">base!F39</f>
        <v>CHRISTIAN ESPEJO BRICEÑO</v>
      </c>
      <c r="E39" s="14" t="str">
        <f aca="false">base!G39</f>
        <v>KARLA SUERO PALOMINO</v>
      </c>
      <c r="F39" s="14" t="n">
        <f aca="false">N(base!O39)</f>
        <v>1</v>
      </c>
      <c r="G39" s="4" t="n">
        <f aca="false">SUM(base!U39:AF39)+N(base!AK39)</f>
        <v>4</v>
      </c>
      <c r="H39" s="14" t="n">
        <f aca="false">N(base!S39)</f>
        <v>16</v>
      </c>
      <c r="I39" s="6" t="n">
        <f aca="false">IFERROR(G39/H39,0)</f>
        <v>0.25</v>
      </c>
      <c r="J39" s="4" t="n">
        <f aca="false">SUM(base!AG39:AJ39)</f>
        <v>8</v>
      </c>
      <c r="K39" s="5" t="n">
        <f aca="false">IFERROR((base!AG39+base!AH39)/(base!K39+base!L39),0)</f>
        <v>3.5</v>
      </c>
      <c r="L39" s="5" t="n">
        <f aca="false">MAX(N(base!AI39),K39*N(base!M39))</f>
        <v>3.5</v>
      </c>
      <c r="M39" s="5" t="n">
        <f aca="false">MAX(N(base!AJ39),K39*N(base!N39))</f>
        <v>3.5</v>
      </c>
      <c r="N39" s="5" t="n">
        <f aca="false">base!AG39+base!AH39+L39+M39</f>
        <v>14</v>
      </c>
      <c r="O39" s="14" t="n">
        <f aca="false">N(base!T39)</f>
        <v>4</v>
      </c>
      <c r="P39" s="6" t="n">
        <f aca="false">IFERROR(J39/O39,0)</f>
        <v>2</v>
      </c>
      <c r="Q39" s="6" t="n">
        <f aca="false">IFERROR(N39/O39,0)</f>
        <v>3.5</v>
      </c>
      <c r="R39" s="6" t="n">
        <f aca="false">Parametros!$B$3*I39+Parametros!$B$4*P39</f>
        <v>0.775</v>
      </c>
      <c r="S39" s="6" t="n">
        <f aca="false">Parametros!$B$3*I39+Parametros!$B$4*Q39</f>
        <v>1.225</v>
      </c>
      <c r="T39" s="4" t="str">
        <f aca="false">IF(S39&lt;tablas!$C$3,"No activa",INDEX(tablas!$B$3:$B$8,MATCH(S39,tablas!$C$3:$C$8,1)))</f>
        <v>N5</v>
      </c>
      <c r="U39" s="15" t="n">
        <f aca="false">IF(S39&lt;tablas!$C$3,0,INDEX(tablas!$D$3:$D$8,MATCH(S39,tablas!$C$3:$C$8,1)))</f>
        <v>1.5</v>
      </c>
      <c r="V39" s="16" t="n">
        <f aca="false">N(base!AQ39)</f>
        <v>1200</v>
      </c>
      <c r="W39" s="7" t="n">
        <f aca="false">U39*V39</f>
        <v>1800</v>
      </c>
      <c r="X39" s="4" t="str">
        <f aca="false">IF(R39&lt;tablas!$C$3,"No activa",INDEX(tablas!$B$3:$B$8,MATCH(R39,tablas!$C$3:$C$8,1)))</f>
        <v>No activa</v>
      </c>
      <c r="Y39" s="7" t="n">
        <f aca="false">IF(R39&lt;tablas!$C$3,0,INDEX(tablas!$D$3:$D$8,MATCH(R39,tablas!$C$3:$C$8,1)))*V39</f>
        <v>0</v>
      </c>
      <c r="Z39" s="4" t="str">
        <f aca="false">IF(S39&gt;=tablas!$C$3,"Activa",IF(S39&gt;=Parametros!$B$5,"Cerca","No activa"))</f>
        <v>Activa</v>
      </c>
      <c r="AA39" s="6" t="n">
        <f aca="false">MAX(0,tablas!$C$3-S39)</f>
        <v>0</v>
      </c>
    </row>
    <row r="40" customFormat="false" ht="15" hidden="false" customHeight="false" outlineLevel="0" collapsed="false">
      <c r="A40" s="14" t="str">
        <f aca="false">base!A40</f>
        <v>76777694-8</v>
      </c>
      <c r="B40" s="14" t="str">
        <f aca="false">base!E40</f>
        <v>Inbound Premium</v>
      </c>
      <c r="C40" s="14" t="str">
        <f aca="false">base!D40</f>
        <v>Inbound</v>
      </c>
      <c r="D40" s="14" t="str">
        <f aca="false">base!F40</f>
        <v>CHRISTIAN ESPEJO BRICEÑO</v>
      </c>
      <c r="E40" s="14" t="str">
        <f aca="false">base!G40</f>
        <v>KARLA SUERO PALOMINO</v>
      </c>
      <c r="F40" s="14" t="n">
        <f aca="false">N(base!O40)</f>
        <v>1</v>
      </c>
      <c r="G40" s="4" t="n">
        <f aca="false">SUM(base!U40:AF40)+N(base!AK40)</f>
        <v>11</v>
      </c>
      <c r="H40" s="14" t="n">
        <f aca="false">N(base!S40)</f>
        <v>16</v>
      </c>
      <c r="I40" s="6" t="n">
        <f aca="false">IFERROR(G40/H40,0)</f>
        <v>0.6875</v>
      </c>
      <c r="J40" s="4" t="n">
        <f aca="false">SUM(base!AG40:AJ40)</f>
        <v>5</v>
      </c>
      <c r="K40" s="5" t="n">
        <f aca="false">IFERROR((base!AG40+base!AH40)/(base!K40+base!L40),0)</f>
        <v>2.5</v>
      </c>
      <c r="L40" s="5" t="n">
        <f aca="false">MAX(N(base!AI40),K40*N(base!M40))</f>
        <v>2.5</v>
      </c>
      <c r="M40" s="5" t="n">
        <f aca="false">MAX(N(base!AJ40),K40*N(base!N40))</f>
        <v>2.5</v>
      </c>
      <c r="N40" s="5" t="n">
        <f aca="false">base!AG40+base!AH40+L40+M40</f>
        <v>10</v>
      </c>
      <c r="O40" s="14" t="n">
        <f aca="false">N(base!T40)</f>
        <v>4</v>
      </c>
      <c r="P40" s="6" t="n">
        <f aca="false">IFERROR(J40/O40,0)</f>
        <v>1.25</v>
      </c>
      <c r="Q40" s="6" t="n">
        <f aca="false">IFERROR(N40/O40,0)</f>
        <v>2.5</v>
      </c>
      <c r="R40" s="6" t="n">
        <f aca="false">Parametros!$B$3*I40+Parametros!$B$4*P40</f>
        <v>0.85625</v>
      </c>
      <c r="S40" s="6" t="n">
        <f aca="false">Parametros!$B$3*I40+Parametros!$B$4*Q40</f>
        <v>1.23125</v>
      </c>
      <c r="T40" s="4" t="str">
        <f aca="false">IF(S40&lt;tablas!$C$3,"No activa",INDEX(tablas!$B$3:$B$8,MATCH(S40,tablas!$C$3:$C$8,1)))</f>
        <v>N5</v>
      </c>
      <c r="U40" s="15" t="n">
        <f aca="false">IF(S40&lt;tablas!$C$3,0,INDEX(tablas!$D$3:$D$8,MATCH(S40,tablas!$C$3:$C$8,1)))</f>
        <v>1.5</v>
      </c>
      <c r="V40" s="16" t="n">
        <f aca="false">N(base!AQ40)</f>
        <v>1200</v>
      </c>
      <c r="W40" s="7" t="n">
        <f aca="false">U40*V40</f>
        <v>1800</v>
      </c>
      <c r="X40" s="4" t="str">
        <f aca="false">IF(R40&lt;tablas!$C$3,"No activa",INDEX(tablas!$B$3:$B$8,MATCH(R40,tablas!$C$3:$C$8,1)))</f>
        <v>N1</v>
      </c>
      <c r="Y40" s="7" t="n">
        <f aca="false">IF(R40&lt;tablas!$C$3,0,INDEX(tablas!$D$3:$D$8,MATCH(R40,tablas!$C$3:$C$8,1)))*V40</f>
        <v>360</v>
      </c>
      <c r="Z40" s="4" t="str">
        <f aca="false">IF(S40&gt;=tablas!$C$3,"Activa",IF(S40&gt;=Parametros!$B$5,"Cerca","No activa"))</f>
        <v>Activa</v>
      </c>
      <c r="AA40" s="6" t="n">
        <f aca="false">MAX(0,tablas!$C$3-S40)</f>
        <v>0</v>
      </c>
    </row>
    <row r="41" customFormat="false" ht="15" hidden="false" customHeight="false" outlineLevel="0" collapsed="false">
      <c r="A41" s="14" t="str">
        <f aca="false">base!A41</f>
        <v>46642474-4</v>
      </c>
      <c r="B41" s="14" t="str">
        <f aca="false">base!E41</f>
        <v>Inbound Premium</v>
      </c>
      <c r="C41" s="14" t="str">
        <f aca="false">base!D41</f>
        <v>Inbound</v>
      </c>
      <c r="D41" s="14" t="str">
        <f aca="false">base!F41</f>
        <v>CHRISTIAN ESPEJO BRICEÑO</v>
      </c>
      <c r="E41" s="14" t="str">
        <f aca="false">base!G41</f>
        <v>KARLA SUERO PALOMINO</v>
      </c>
      <c r="F41" s="14" t="n">
        <f aca="false">N(base!O41)</f>
        <v>1</v>
      </c>
      <c r="G41" s="4" t="n">
        <f aca="false">SUM(base!U41:AF41)+N(base!AK41)</f>
        <v>0</v>
      </c>
      <c r="H41" s="14" t="n">
        <f aca="false">N(base!S41)</f>
        <v>16</v>
      </c>
      <c r="I41" s="6" t="n">
        <f aca="false">IFERROR(G41/H41,0)</f>
        <v>0</v>
      </c>
      <c r="J41" s="4" t="n">
        <f aca="false">SUM(base!AG41:AJ41)</f>
        <v>6</v>
      </c>
      <c r="K41" s="5" t="n">
        <f aca="false">IFERROR((base!AG41+base!AH41)/(base!K41+base!L41),0)</f>
        <v>2.5</v>
      </c>
      <c r="L41" s="5" t="n">
        <f aca="false">MAX(N(base!AI41),K41*N(base!M41))</f>
        <v>2.5</v>
      </c>
      <c r="M41" s="5" t="n">
        <f aca="false">MAX(N(base!AJ41),K41*N(base!N41))</f>
        <v>2.5</v>
      </c>
      <c r="N41" s="5" t="n">
        <f aca="false">base!AG41+base!AH41+L41+M41</f>
        <v>10</v>
      </c>
      <c r="O41" s="14" t="n">
        <f aca="false">N(base!T41)</f>
        <v>5</v>
      </c>
      <c r="P41" s="6" t="n">
        <f aca="false">IFERROR(J41/O41,0)</f>
        <v>1.2</v>
      </c>
      <c r="Q41" s="6" t="n">
        <f aca="false">IFERROR(N41/O41,0)</f>
        <v>2</v>
      </c>
      <c r="R41" s="6" t="n">
        <f aca="false">Parametros!$B$3*I41+Parametros!$B$4*P41</f>
        <v>0.36</v>
      </c>
      <c r="S41" s="6" t="n">
        <f aca="false">Parametros!$B$3*I41+Parametros!$B$4*Q41</f>
        <v>0.6</v>
      </c>
      <c r="T41" s="4" t="str">
        <f aca="false">IF(S41&lt;tablas!$C$3,"No activa",INDEX(tablas!$B$3:$B$8,MATCH(S41,tablas!$C$3:$C$8,1)))</f>
        <v>No activa</v>
      </c>
      <c r="U41" s="15" t="n">
        <f aca="false">IF(S41&lt;tablas!$C$3,0,INDEX(tablas!$D$3:$D$8,MATCH(S41,tablas!$C$3:$C$8,1)))</f>
        <v>0</v>
      </c>
      <c r="V41" s="16" t="n">
        <f aca="false">N(base!AQ41)</f>
        <v>1200</v>
      </c>
      <c r="W41" s="7" t="n">
        <f aca="false">U41*V41</f>
        <v>0</v>
      </c>
      <c r="X41" s="4" t="str">
        <f aca="false">IF(R41&lt;tablas!$C$3,"No activa",INDEX(tablas!$B$3:$B$8,MATCH(R41,tablas!$C$3:$C$8,1)))</f>
        <v>No activa</v>
      </c>
      <c r="Y41" s="7" t="n">
        <f aca="false">IF(R41&lt;tablas!$C$3,0,INDEX(tablas!$D$3:$D$8,MATCH(R41,tablas!$C$3:$C$8,1)))*V41</f>
        <v>0</v>
      </c>
      <c r="Z41" s="4" t="str">
        <f aca="false">IF(S41&gt;=tablas!$C$3,"Activa",IF(S41&gt;=Parametros!$B$5,"Cerca","No activa"))</f>
        <v>No activa</v>
      </c>
      <c r="AA41" s="6" t="n">
        <f aca="false">MAX(0,tablas!$C$3-S41)</f>
        <v>0.2</v>
      </c>
    </row>
    <row r="42" customFormat="false" ht="15" hidden="false" customHeight="false" outlineLevel="0" collapsed="false">
      <c r="A42" s="14" t="str">
        <f aca="false">base!A42</f>
        <v>73938101-6</v>
      </c>
      <c r="B42" s="14" t="str">
        <f aca="false">base!E42</f>
        <v>Inbound Premium</v>
      </c>
      <c r="C42" s="14" t="str">
        <f aca="false">base!D42</f>
        <v>Inbound</v>
      </c>
      <c r="D42" s="14" t="str">
        <f aca="false">base!F42</f>
        <v>CHRISTIAN ESPEJO BRICEÑO</v>
      </c>
      <c r="E42" s="14" t="str">
        <f aca="false">base!G42</f>
        <v>KARLA SUERO PALOMINO</v>
      </c>
      <c r="F42" s="14" t="n">
        <f aca="false">N(base!O42)</f>
        <v>1</v>
      </c>
      <c r="G42" s="4" t="n">
        <f aca="false">SUM(base!U42:AF42)+N(base!AK42)</f>
        <v>5</v>
      </c>
      <c r="H42" s="14" t="n">
        <f aca="false">N(base!S42)</f>
        <v>16</v>
      </c>
      <c r="I42" s="6" t="n">
        <f aca="false">IFERROR(G42/H42,0)</f>
        <v>0.3125</v>
      </c>
      <c r="J42" s="4" t="n">
        <f aca="false">SUM(base!AG42:AJ42)</f>
        <v>9</v>
      </c>
      <c r="K42" s="5" t="n">
        <f aca="false">IFERROR((base!AG42+base!AH42)/(base!K42+base!L42),0)</f>
        <v>4.5</v>
      </c>
      <c r="L42" s="5" t="n">
        <f aca="false">MAX(N(base!AI42),K42*N(base!M42))</f>
        <v>4.5</v>
      </c>
      <c r="M42" s="5" t="n">
        <f aca="false">MAX(N(base!AJ42),K42*N(base!N42))</f>
        <v>4.5</v>
      </c>
      <c r="N42" s="5" t="n">
        <f aca="false">base!AG42+base!AH42+L42+M42</f>
        <v>18</v>
      </c>
      <c r="O42" s="14" t="n">
        <f aca="false">N(base!T42)</f>
        <v>6</v>
      </c>
      <c r="P42" s="6" t="n">
        <f aca="false">IFERROR(J42/O42,0)</f>
        <v>1.5</v>
      </c>
      <c r="Q42" s="6" t="n">
        <f aca="false">IFERROR(N42/O42,0)</f>
        <v>3</v>
      </c>
      <c r="R42" s="6" t="n">
        <f aca="false">Parametros!$B$3*I42+Parametros!$B$4*P42</f>
        <v>0.66875</v>
      </c>
      <c r="S42" s="6" t="n">
        <f aca="false">Parametros!$B$3*I42+Parametros!$B$4*Q42</f>
        <v>1.11875</v>
      </c>
      <c r="T42" s="4" t="str">
        <f aca="false">IF(S42&lt;tablas!$C$3,"No activa",INDEX(tablas!$B$3:$B$8,MATCH(S42,tablas!$C$3:$C$8,1)))</f>
        <v>N4</v>
      </c>
      <c r="U42" s="15" t="n">
        <f aca="false">IF(S42&lt;tablas!$C$3,0,INDEX(tablas!$D$3:$D$8,MATCH(S42,tablas!$C$3:$C$8,1)))</f>
        <v>1.3</v>
      </c>
      <c r="V42" s="16" t="n">
        <f aca="false">N(base!AQ42)</f>
        <v>1200</v>
      </c>
      <c r="W42" s="7" t="n">
        <f aca="false">U42*V42</f>
        <v>1560</v>
      </c>
      <c r="X42" s="4" t="str">
        <f aca="false">IF(R42&lt;tablas!$C$3,"No activa",INDEX(tablas!$B$3:$B$8,MATCH(R42,tablas!$C$3:$C$8,1)))</f>
        <v>No activa</v>
      </c>
      <c r="Y42" s="7" t="n">
        <f aca="false">IF(R42&lt;tablas!$C$3,0,INDEX(tablas!$D$3:$D$8,MATCH(R42,tablas!$C$3:$C$8,1)))*V42</f>
        <v>0</v>
      </c>
      <c r="Z42" s="4" t="str">
        <f aca="false">IF(S42&gt;=tablas!$C$3,"Activa",IF(S42&gt;=Parametros!$B$5,"Cerca","No activa"))</f>
        <v>Activa</v>
      </c>
      <c r="AA42" s="6" t="n">
        <f aca="false">MAX(0,tablas!$C$3-S42)</f>
        <v>0</v>
      </c>
    </row>
    <row r="43" customFormat="false" ht="15" hidden="false" customHeight="false" outlineLevel="0" collapsed="false">
      <c r="A43" s="14" t="str">
        <f aca="false">base!A43</f>
        <v>63034996-1</v>
      </c>
      <c r="B43" s="14" t="str">
        <f aca="false">base!E43</f>
        <v>Inbound Premium</v>
      </c>
      <c r="C43" s="14" t="str">
        <f aca="false">base!D43</f>
        <v>Inbound</v>
      </c>
      <c r="D43" s="14" t="str">
        <f aca="false">base!F43</f>
        <v>CHRISTIAN ESPEJO BRICEÑO</v>
      </c>
      <c r="E43" s="14" t="str">
        <f aca="false">base!G43</f>
        <v>KARLA SUERO PALOMINO</v>
      </c>
      <c r="F43" s="14" t="n">
        <f aca="false">N(base!O43)</f>
        <v>1</v>
      </c>
      <c r="G43" s="4" t="n">
        <f aca="false">SUM(base!U43:AF43)+N(base!AK43)</f>
        <v>7</v>
      </c>
      <c r="H43" s="14" t="n">
        <f aca="false">N(base!S43)</f>
        <v>16</v>
      </c>
      <c r="I43" s="6" t="n">
        <f aca="false">IFERROR(G43/H43,0)</f>
        <v>0.4375</v>
      </c>
      <c r="J43" s="4" t="n">
        <f aca="false">SUM(base!AG43:AJ43)</f>
        <v>7</v>
      </c>
      <c r="K43" s="5" t="n">
        <f aca="false">IFERROR((base!AG43+base!AH43)/(base!K43+base!L43),0)</f>
        <v>3.5</v>
      </c>
      <c r="L43" s="5" t="n">
        <f aca="false">MAX(N(base!AI43),K43*N(base!M43))</f>
        <v>3.5</v>
      </c>
      <c r="M43" s="5" t="n">
        <f aca="false">MAX(N(base!AJ43),K43*N(base!N43))</f>
        <v>3.5</v>
      </c>
      <c r="N43" s="5" t="n">
        <f aca="false">base!AG43+base!AH43+L43+M43</f>
        <v>14</v>
      </c>
      <c r="O43" s="14" t="n">
        <f aca="false">N(base!T43)</f>
        <v>5</v>
      </c>
      <c r="P43" s="6" t="n">
        <f aca="false">IFERROR(J43/O43,0)</f>
        <v>1.4</v>
      </c>
      <c r="Q43" s="6" t="n">
        <f aca="false">IFERROR(N43/O43,0)</f>
        <v>2.8</v>
      </c>
      <c r="R43" s="6" t="n">
        <f aca="false">Parametros!$B$3*I43+Parametros!$B$4*P43</f>
        <v>0.72625</v>
      </c>
      <c r="S43" s="6" t="n">
        <f aca="false">Parametros!$B$3*I43+Parametros!$B$4*Q43</f>
        <v>1.14625</v>
      </c>
      <c r="T43" s="4" t="str">
        <f aca="false">IF(S43&lt;tablas!$C$3,"No activa",INDEX(tablas!$B$3:$B$8,MATCH(S43,tablas!$C$3:$C$8,1)))</f>
        <v>N4</v>
      </c>
      <c r="U43" s="15" t="n">
        <f aca="false">IF(S43&lt;tablas!$C$3,0,INDEX(tablas!$D$3:$D$8,MATCH(S43,tablas!$C$3:$C$8,1)))</f>
        <v>1.3</v>
      </c>
      <c r="V43" s="16" t="n">
        <f aca="false">N(base!AQ43)</f>
        <v>1200</v>
      </c>
      <c r="W43" s="7" t="n">
        <f aca="false">U43*V43</f>
        <v>1560</v>
      </c>
      <c r="X43" s="4" t="str">
        <f aca="false">IF(R43&lt;tablas!$C$3,"No activa",INDEX(tablas!$B$3:$B$8,MATCH(R43,tablas!$C$3:$C$8,1)))</f>
        <v>No activa</v>
      </c>
      <c r="Y43" s="7" t="n">
        <f aca="false">IF(R43&lt;tablas!$C$3,0,INDEX(tablas!$D$3:$D$8,MATCH(R43,tablas!$C$3:$C$8,1)))*V43</f>
        <v>0</v>
      </c>
      <c r="Z43" s="4" t="str">
        <f aca="false">IF(S43&gt;=tablas!$C$3,"Activa",IF(S43&gt;=Parametros!$B$5,"Cerca","No activa"))</f>
        <v>Activa</v>
      </c>
      <c r="AA43" s="6" t="n">
        <f aca="false">MAX(0,tablas!$C$3-S43)</f>
        <v>0</v>
      </c>
    </row>
    <row r="44" customFormat="false" ht="15" hidden="false" customHeight="false" outlineLevel="0" collapsed="false">
      <c r="A44" s="14" t="str">
        <f aca="false">base!A44</f>
        <v>74494259-0</v>
      </c>
      <c r="B44" s="14" t="str">
        <f aca="false">base!E44</f>
        <v>ReiNew</v>
      </c>
      <c r="C44" s="14" t="str">
        <f aca="false">base!D44</f>
        <v>Especializado</v>
      </c>
      <c r="D44" s="14" t="str">
        <f aca="false">base!F44</f>
        <v>FRANCIS SANCHEZ CAMPOS</v>
      </c>
      <c r="E44" s="14" t="str">
        <f aca="false">base!G44</f>
        <v>SINDY ZAMBRANO SOTERO</v>
      </c>
      <c r="F44" s="14" t="n">
        <f aca="false">N(base!O44)</f>
        <v>1</v>
      </c>
      <c r="G44" s="4" t="n">
        <f aca="false">SUM(base!U44:AF44)+N(base!AK44)</f>
        <v>3</v>
      </c>
      <c r="H44" s="14" t="n">
        <f aca="false">N(base!S44)</f>
        <v>15</v>
      </c>
      <c r="I44" s="6" t="n">
        <f aca="false">IFERROR(G44/H44,0)</f>
        <v>0.2</v>
      </c>
      <c r="J44" s="4" t="n">
        <f aca="false">SUM(base!AG44:AJ44)</f>
        <v>0</v>
      </c>
      <c r="K44" s="5" t="n">
        <f aca="false">IFERROR((base!AG44+base!AH44)/(base!K44+base!L44),0)</f>
        <v>0</v>
      </c>
      <c r="L44" s="5" t="n">
        <f aca="false">MAX(N(base!AI44),K44*N(base!M44))</f>
        <v>0</v>
      </c>
      <c r="M44" s="5" t="n">
        <f aca="false">MAX(N(base!AJ44),K44*N(base!N44))</f>
        <v>0</v>
      </c>
      <c r="N44" s="5" t="n">
        <f aca="false">base!AG44+base!AH44+L44+M44</f>
        <v>0</v>
      </c>
      <c r="O44" s="14" t="n">
        <f aca="false">N(base!T44)</f>
        <v>7</v>
      </c>
      <c r="P44" s="6" t="n">
        <f aca="false">IFERROR(J44/O44,0)</f>
        <v>0</v>
      </c>
      <c r="Q44" s="6" t="n">
        <f aca="false">IFERROR(N44/O44,0)</f>
        <v>0</v>
      </c>
      <c r="R44" s="6" t="n">
        <f aca="false">Parametros!$B$3*I44+Parametros!$B$4*P44</f>
        <v>0.14</v>
      </c>
      <c r="S44" s="6" t="n">
        <f aca="false">Parametros!$B$3*I44+Parametros!$B$4*Q44</f>
        <v>0.14</v>
      </c>
      <c r="T44" s="4" t="str">
        <f aca="false">IF(S44&lt;tablas!$C$3,"No activa",INDEX(tablas!$B$3:$B$8,MATCH(S44,tablas!$C$3:$C$8,1)))</f>
        <v>No activa</v>
      </c>
      <c r="U44" s="15" t="n">
        <f aca="false">IF(S44&lt;tablas!$C$3,0,INDEX(tablas!$D$3:$D$8,MATCH(S44,tablas!$C$3:$C$8,1)))</f>
        <v>0</v>
      </c>
      <c r="V44" s="16" t="n">
        <f aca="false">N(base!AQ44)</f>
        <v>1200</v>
      </c>
      <c r="W44" s="7" t="n">
        <f aca="false">U44*V44</f>
        <v>0</v>
      </c>
      <c r="X44" s="4" t="str">
        <f aca="false">IF(R44&lt;tablas!$C$3,"No activa",INDEX(tablas!$B$3:$B$8,MATCH(R44,tablas!$C$3:$C$8,1)))</f>
        <v>No activa</v>
      </c>
      <c r="Y44" s="7" t="n">
        <f aca="false">IF(R44&lt;tablas!$C$3,0,INDEX(tablas!$D$3:$D$8,MATCH(R44,tablas!$C$3:$C$8,1)))*V44</f>
        <v>0</v>
      </c>
      <c r="Z44" s="4" t="str">
        <f aca="false">IF(S44&gt;=tablas!$C$3,"Activa",IF(S44&gt;=Parametros!$B$5,"Cerca","No activa"))</f>
        <v>No activa</v>
      </c>
      <c r="AA44" s="6" t="n">
        <f aca="false">MAX(0,tablas!$C$3-S44)</f>
        <v>0.66</v>
      </c>
    </row>
    <row r="45" customFormat="false" ht="15" hidden="false" customHeight="false" outlineLevel="0" collapsed="false">
      <c r="A45" s="14" t="str">
        <f aca="false">base!A45</f>
        <v>44582430-1</v>
      </c>
      <c r="B45" s="14" t="str">
        <f aca="false">base!E45</f>
        <v>ReiNew</v>
      </c>
      <c r="C45" s="14" t="str">
        <f aca="false">base!D45</f>
        <v>Especializado</v>
      </c>
      <c r="D45" s="14" t="str">
        <f aca="false">base!F45</f>
        <v>FRANCIS SANCHEZ CAMPOS</v>
      </c>
      <c r="E45" s="14" t="str">
        <f aca="false">base!G45</f>
        <v>SINDY ZAMBRANO SOTERO</v>
      </c>
      <c r="F45" s="14" t="n">
        <f aca="false">N(base!O45)</f>
        <v>1</v>
      </c>
      <c r="G45" s="4" t="n">
        <f aca="false">SUM(base!U45:AF45)+N(base!AK45)</f>
        <v>2</v>
      </c>
      <c r="H45" s="14" t="n">
        <f aca="false">N(base!S45)</f>
        <v>15</v>
      </c>
      <c r="I45" s="6" t="n">
        <f aca="false">IFERROR(G45/H45,0)</f>
        <v>0.133333333333333</v>
      </c>
      <c r="J45" s="4" t="n">
        <f aca="false">SUM(base!AG45:AJ45)</f>
        <v>0</v>
      </c>
      <c r="K45" s="5" t="n">
        <f aca="false">IFERROR((base!AG45+base!AH45)/(base!K45+base!L45),0)</f>
        <v>0</v>
      </c>
      <c r="L45" s="5" t="n">
        <f aca="false">MAX(N(base!AI45),K45*N(base!M45))</f>
        <v>0</v>
      </c>
      <c r="M45" s="5" t="n">
        <f aca="false">MAX(N(base!AJ45),K45*N(base!N45))</f>
        <v>0</v>
      </c>
      <c r="N45" s="5" t="n">
        <f aca="false">base!AG45+base!AH45+L45+M45</f>
        <v>0</v>
      </c>
      <c r="O45" s="14" t="n">
        <f aca="false">N(base!T45)</f>
        <v>7</v>
      </c>
      <c r="P45" s="6" t="n">
        <f aca="false">IFERROR(J45/O45,0)</f>
        <v>0</v>
      </c>
      <c r="Q45" s="6" t="n">
        <f aca="false">IFERROR(N45/O45,0)</f>
        <v>0</v>
      </c>
      <c r="R45" s="6" t="n">
        <f aca="false">Parametros!$B$3*I45+Parametros!$B$4*P45</f>
        <v>0.0933333333333333</v>
      </c>
      <c r="S45" s="6" t="n">
        <f aca="false">Parametros!$B$3*I45+Parametros!$B$4*Q45</f>
        <v>0.0933333333333333</v>
      </c>
      <c r="T45" s="4" t="str">
        <f aca="false">IF(S45&lt;tablas!$C$3,"No activa",INDEX(tablas!$B$3:$B$8,MATCH(S45,tablas!$C$3:$C$8,1)))</f>
        <v>No activa</v>
      </c>
      <c r="U45" s="15" t="n">
        <f aca="false">IF(S45&lt;tablas!$C$3,0,INDEX(tablas!$D$3:$D$8,MATCH(S45,tablas!$C$3:$C$8,1)))</f>
        <v>0</v>
      </c>
      <c r="V45" s="16" t="n">
        <f aca="false">N(base!AQ45)</f>
        <v>1200</v>
      </c>
      <c r="W45" s="7" t="n">
        <f aca="false">U45*V45</f>
        <v>0</v>
      </c>
      <c r="X45" s="4" t="str">
        <f aca="false">IF(R45&lt;tablas!$C$3,"No activa",INDEX(tablas!$B$3:$B$8,MATCH(R45,tablas!$C$3:$C$8,1)))</f>
        <v>No activa</v>
      </c>
      <c r="Y45" s="7" t="n">
        <f aca="false">IF(R45&lt;tablas!$C$3,0,INDEX(tablas!$D$3:$D$8,MATCH(R45,tablas!$C$3:$C$8,1)))*V45</f>
        <v>0</v>
      </c>
      <c r="Z45" s="4" t="str">
        <f aca="false">IF(S45&gt;=tablas!$C$3,"Activa",IF(S45&gt;=Parametros!$B$5,"Cerca","No activa"))</f>
        <v>No activa</v>
      </c>
      <c r="AA45" s="6" t="n">
        <f aca="false">MAX(0,tablas!$C$3-S45)</f>
        <v>0.706666666666667</v>
      </c>
    </row>
    <row r="46" customFormat="false" ht="15" hidden="false" customHeight="false" outlineLevel="0" collapsed="false">
      <c r="A46" s="14" t="str">
        <f aca="false">base!A46</f>
        <v>72809743-0</v>
      </c>
      <c r="B46" s="14" t="str">
        <f aca="false">base!E46</f>
        <v>ReiNew</v>
      </c>
      <c r="C46" s="14" t="str">
        <f aca="false">base!D46</f>
        <v>Especializado</v>
      </c>
      <c r="D46" s="14" t="str">
        <f aca="false">base!F46</f>
        <v>FRANCIS SANCHEZ CAMPOS</v>
      </c>
      <c r="E46" s="14" t="str">
        <f aca="false">base!G46</f>
        <v>SINDY ZAMBRANO SOTERO</v>
      </c>
      <c r="F46" s="14" t="n">
        <f aca="false">N(base!O46)</f>
        <v>1</v>
      </c>
      <c r="G46" s="4" t="n">
        <f aca="false">SUM(base!U46:AF46)+N(base!AK46)</f>
        <v>0</v>
      </c>
      <c r="H46" s="14" t="n">
        <f aca="false">N(base!S46)</f>
        <v>15</v>
      </c>
      <c r="I46" s="6" t="n">
        <f aca="false">IFERROR(G46/H46,0)</f>
        <v>0</v>
      </c>
      <c r="J46" s="4" t="n">
        <f aca="false">SUM(base!AG46:AJ46)</f>
        <v>0</v>
      </c>
      <c r="K46" s="5" t="n">
        <f aca="false">IFERROR((base!AG46+base!AH46)/(base!K46+base!L46),0)</f>
        <v>0</v>
      </c>
      <c r="L46" s="5" t="n">
        <f aca="false">MAX(N(base!AI46),K46*N(base!M46))</f>
        <v>0</v>
      </c>
      <c r="M46" s="5" t="n">
        <f aca="false">MAX(N(base!AJ46),K46*N(base!N46))</f>
        <v>0</v>
      </c>
      <c r="N46" s="5" t="n">
        <f aca="false">base!AG46+base!AH46+L46+M46</f>
        <v>0</v>
      </c>
      <c r="O46" s="14" t="n">
        <f aca="false">N(base!T46)</f>
        <v>7</v>
      </c>
      <c r="P46" s="6" t="n">
        <f aca="false">IFERROR(J46/O46,0)</f>
        <v>0</v>
      </c>
      <c r="Q46" s="6" t="n">
        <f aca="false">IFERROR(N46/O46,0)</f>
        <v>0</v>
      </c>
      <c r="R46" s="6" t="n">
        <f aca="false">Parametros!$B$3*I46+Parametros!$B$4*P46</f>
        <v>0</v>
      </c>
      <c r="S46" s="6" t="n">
        <f aca="false">Parametros!$B$3*I46+Parametros!$B$4*Q46</f>
        <v>0</v>
      </c>
      <c r="T46" s="4" t="str">
        <f aca="false">IF(S46&lt;tablas!$C$3,"No activa",INDEX(tablas!$B$3:$B$8,MATCH(S46,tablas!$C$3:$C$8,1)))</f>
        <v>No activa</v>
      </c>
      <c r="U46" s="15" t="n">
        <f aca="false">IF(S46&lt;tablas!$C$3,0,INDEX(tablas!$D$3:$D$8,MATCH(S46,tablas!$C$3:$C$8,1)))</f>
        <v>0</v>
      </c>
      <c r="V46" s="16" t="n">
        <f aca="false">N(base!AQ46)</f>
        <v>1200</v>
      </c>
      <c r="W46" s="7" t="n">
        <f aca="false">U46*V46</f>
        <v>0</v>
      </c>
      <c r="X46" s="4" t="str">
        <f aca="false">IF(R46&lt;tablas!$C$3,"No activa",INDEX(tablas!$B$3:$B$8,MATCH(R46,tablas!$C$3:$C$8,1)))</f>
        <v>No activa</v>
      </c>
      <c r="Y46" s="7" t="n">
        <f aca="false">IF(R46&lt;tablas!$C$3,0,INDEX(tablas!$D$3:$D$8,MATCH(R46,tablas!$C$3:$C$8,1)))*V46</f>
        <v>0</v>
      </c>
      <c r="Z46" s="4" t="str">
        <f aca="false">IF(S46&gt;=tablas!$C$3,"Activa",IF(S46&gt;=Parametros!$B$5,"Cerca","No activa"))</f>
        <v>No activa</v>
      </c>
      <c r="AA46" s="6" t="n">
        <f aca="false">MAX(0,tablas!$C$3-S46)</f>
        <v>0.8</v>
      </c>
    </row>
    <row r="47" customFormat="false" ht="15" hidden="false" customHeight="false" outlineLevel="0" collapsed="false">
      <c r="A47" s="14" t="str">
        <f aca="false">base!A47</f>
        <v>75282600-1</v>
      </c>
      <c r="B47" s="14" t="str">
        <f aca="false">base!E47</f>
        <v>ReiNew</v>
      </c>
      <c r="C47" s="14" t="str">
        <f aca="false">base!D47</f>
        <v>Especializado</v>
      </c>
      <c r="D47" s="14" t="str">
        <f aca="false">base!F47</f>
        <v>GIANFRANCO ZAIRA BRIONES</v>
      </c>
      <c r="E47" s="14" t="str">
        <f aca="false">base!G47</f>
        <v>SINDY ZAMBRANO SOTERO</v>
      </c>
      <c r="F47" s="14" t="n">
        <f aca="false">N(base!O47)</f>
        <v>1</v>
      </c>
      <c r="G47" s="4" t="n">
        <f aca="false">SUM(base!U47:AF47)+N(base!AK47)</f>
        <v>0</v>
      </c>
      <c r="H47" s="14" t="n">
        <f aca="false">N(base!S47)</f>
        <v>15</v>
      </c>
      <c r="I47" s="6" t="n">
        <f aca="false">IFERROR(G47/H47,0)</f>
        <v>0</v>
      </c>
      <c r="J47" s="4" t="n">
        <f aca="false">SUM(base!AG47:AJ47)</f>
        <v>0</v>
      </c>
      <c r="K47" s="5" t="n">
        <f aca="false">IFERROR((base!AG47+base!AH47)/(base!K47+base!L47),0)</f>
        <v>0</v>
      </c>
      <c r="L47" s="5" t="n">
        <f aca="false">MAX(N(base!AI47),K47*N(base!M47))</f>
        <v>0</v>
      </c>
      <c r="M47" s="5" t="n">
        <f aca="false">MAX(N(base!AJ47),K47*N(base!N47))</f>
        <v>0</v>
      </c>
      <c r="N47" s="5" t="n">
        <f aca="false">base!AG47+base!AH47+L47+M47</f>
        <v>0</v>
      </c>
      <c r="O47" s="14" t="n">
        <f aca="false">N(base!T47)</f>
        <v>7</v>
      </c>
      <c r="P47" s="6" t="n">
        <f aca="false">IFERROR(J47/O47,0)</f>
        <v>0</v>
      </c>
      <c r="Q47" s="6" t="n">
        <f aca="false">IFERROR(N47/O47,0)</f>
        <v>0</v>
      </c>
      <c r="R47" s="6" t="n">
        <f aca="false">Parametros!$B$3*I47+Parametros!$B$4*P47</f>
        <v>0</v>
      </c>
      <c r="S47" s="6" t="n">
        <f aca="false">Parametros!$B$3*I47+Parametros!$B$4*Q47</f>
        <v>0</v>
      </c>
      <c r="T47" s="4" t="str">
        <f aca="false">IF(S47&lt;tablas!$C$3,"No activa",INDEX(tablas!$B$3:$B$8,MATCH(S47,tablas!$C$3:$C$8,1)))</f>
        <v>No activa</v>
      </c>
      <c r="U47" s="15" t="n">
        <f aca="false">IF(S47&lt;tablas!$C$3,0,INDEX(tablas!$D$3:$D$8,MATCH(S47,tablas!$C$3:$C$8,1)))</f>
        <v>0</v>
      </c>
      <c r="V47" s="16" t="n">
        <f aca="false">N(base!AQ47)</f>
        <v>1200</v>
      </c>
      <c r="W47" s="7" t="n">
        <f aca="false">U47*V47</f>
        <v>0</v>
      </c>
      <c r="X47" s="4" t="str">
        <f aca="false">IF(R47&lt;tablas!$C$3,"No activa",INDEX(tablas!$B$3:$B$8,MATCH(R47,tablas!$C$3:$C$8,1)))</f>
        <v>No activa</v>
      </c>
      <c r="Y47" s="7" t="n">
        <f aca="false">IF(R47&lt;tablas!$C$3,0,INDEX(tablas!$D$3:$D$8,MATCH(R47,tablas!$C$3:$C$8,1)))*V47</f>
        <v>0</v>
      </c>
      <c r="Z47" s="4" t="str">
        <f aca="false">IF(S47&gt;=tablas!$C$3,"Activa",IF(S47&gt;=Parametros!$B$5,"Cerca","No activa"))</f>
        <v>No activa</v>
      </c>
      <c r="AA47" s="6" t="n">
        <f aca="false">MAX(0,tablas!$C$3-S47)</f>
        <v>0.8</v>
      </c>
    </row>
    <row r="48" customFormat="false" ht="15" hidden="false" customHeight="false" outlineLevel="0" collapsed="false">
      <c r="A48" s="14" t="str">
        <f aca="false">base!A48</f>
        <v>76315697-0</v>
      </c>
      <c r="B48" s="14" t="str">
        <f aca="false">base!E48</f>
        <v>ReiNew</v>
      </c>
      <c r="C48" s="14" t="str">
        <f aca="false">base!D48</f>
        <v>Especializado</v>
      </c>
      <c r="D48" s="14" t="str">
        <f aca="false">base!F48</f>
        <v>GIANFRANCO ZAIRA BRIONES</v>
      </c>
      <c r="E48" s="14" t="str">
        <f aca="false">base!G48</f>
        <v>SINDY ZAMBRANO SOTERO</v>
      </c>
      <c r="F48" s="14" t="n">
        <f aca="false">N(base!O48)</f>
        <v>1</v>
      </c>
      <c r="G48" s="4" t="n">
        <f aca="false">SUM(base!U48:AF48)+N(base!AK48)</f>
        <v>4</v>
      </c>
      <c r="H48" s="14" t="n">
        <f aca="false">N(base!S48)</f>
        <v>15</v>
      </c>
      <c r="I48" s="6" t="n">
        <f aca="false">IFERROR(G48/H48,0)</f>
        <v>0.266666666666667</v>
      </c>
      <c r="J48" s="4" t="n">
        <f aca="false">SUM(base!AG48:AJ48)</f>
        <v>0</v>
      </c>
      <c r="K48" s="5" t="n">
        <f aca="false">IFERROR((base!AG48+base!AH48)/(base!K48+base!L48),0)</f>
        <v>0</v>
      </c>
      <c r="L48" s="5" t="n">
        <f aca="false">MAX(N(base!AI48),K48*N(base!M48))</f>
        <v>0</v>
      </c>
      <c r="M48" s="5" t="n">
        <f aca="false">MAX(N(base!AJ48),K48*N(base!N48))</f>
        <v>0</v>
      </c>
      <c r="N48" s="5" t="n">
        <f aca="false">base!AG48+base!AH48+L48+M48</f>
        <v>0</v>
      </c>
      <c r="O48" s="14" t="n">
        <f aca="false">N(base!T48)</f>
        <v>7</v>
      </c>
      <c r="P48" s="6" t="n">
        <f aca="false">IFERROR(J48/O48,0)</f>
        <v>0</v>
      </c>
      <c r="Q48" s="6" t="n">
        <f aca="false">IFERROR(N48/O48,0)</f>
        <v>0</v>
      </c>
      <c r="R48" s="6" t="n">
        <f aca="false">Parametros!$B$3*I48+Parametros!$B$4*P48</f>
        <v>0.186666666666667</v>
      </c>
      <c r="S48" s="6" t="n">
        <f aca="false">Parametros!$B$3*I48+Parametros!$B$4*Q48</f>
        <v>0.186666666666667</v>
      </c>
      <c r="T48" s="4" t="str">
        <f aca="false">IF(S48&lt;tablas!$C$3,"No activa",INDEX(tablas!$B$3:$B$8,MATCH(S48,tablas!$C$3:$C$8,1)))</f>
        <v>No activa</v>
      </c>
      <c r="U48" s="15" t="n">
        <f aca="false">IF(S48&lt;tablas!$C$3,0,INDEX(tablas!$D$3:$D$8,MATCH(S48,tablas!$C$3:$C$8,1)))</f>
        <v>0</v>
      </c>
      <c r="V48" s="16" t="n">
        <f aca="false">N(base!AQ48)</f>
        <v>1200</v>
      </c>
      <c r="W48" s="7" t="n">
        <f aca="false">U48*V48</f>
        <v>0</v>
      </c>
      <c r="X48" s="4" t="str">
        <f aca="false">IF(R48&lt;tablas!$C$3,"No activa",INDEX(tablas!$B$3:$B$8,MATCH(R48,tablas!$C$3:$C$8,1)))</f>
        <v>No activa</v>
      </c>
      <c r="Y48" s="7" t="n">
        <f aca="false">IF(R48&lt;tablas!$C$3,0,INDEX(tablas!$D$3:$D$8,MATCH(R48,tablas!$C$3:$C$8,1)))*V48</f>
        <v>0</v>
      </c>
      <c r="Z48" s="4" t="str">
        <f aca="false">IF(S48&gt;=tablas!$C$3,"Activa",IF(S48&gt;=Parametros!$B$5,"Cerca","No activa"))</f>
        <v>No activa</v>
      </c>
      <c r="AA48" s="6" t="n">
        <f aca="false">MAX(0,tablas!$C$3-S48)</f>
        <v>0.613333333333333</v>
      </c>
    </row>
    <row r="49" customFormat="false" ht="15" hidden="false" customHeight="false" outlineLevel="0" collapsed="false">
      <c r="A49" s="14" t="str">
        <f aca="false">base!A49</f>
        <v>70451055-7</v>
      </c>
      <c r="B49" s="14" t="str">
        <f aca="false">base!E49</f>
        <v>Outbound Regular</v>
      </c>
      <c r="C49" s="14" t="str">
        <f aca="false">base!D49</f>
        <v>Outbound</v>
      </c>
      <c r="D49" s="14" t="str">
        <f aca="false">base!F49</f>
        <v>GRECIA LANDIVAR PEREZ</v>
      </c>
      <c r="E49" s="14" t="str">
        <f aca="false">base!G49</f>
        <v>ROMULO CHAVEZ ACOSTA</v>
      </c>
      <c r="F49" s="14" t="n">
        <f aca="false">N(base!O49)</f>
        <v>1</v>
      </c>
      <c r="G49" s="4" t="n">
        <f aca="false">SUM(base!U49:AF49)+N(base!AK49)</f>
        <v>0</v>
      </c>
      <c r="H49" s="14" t="n">
        <f aca="false">N(base!S49)</f>
        <v>4</v>
      </c>
      <c r="I49" s="6" t="n">
        <f aca="false">IFERROR(G49/H49,0)</f>
        <v>0</v>
      </c>
      <c r="J49" s="4" t="n">
        <f aca="false">SUM(base!AG49:AJ49)</f>
        <v>0</v>
      </c>
      <c r="K49" s="5" t="n">
        <f aca="false">IFERROR((base!AG49+base!AH49)/(base!K49+base!L49),0)</f>
        <v>0</v>
      </c>
      <c r="L49" s="5" t="n">
        <f aca="false">MAX(N(base!AI49),K49*N(base!M49))</f>
        <v>0</v>
      </c>
      <c r="M49" s="5" t="n">
        <f aca="false">MAX(N(base!AJ49),K49*N(base!N49))</f>
        <v>0</v>
      </c>
      <c r="N49" s="5" t="n">
        <f aca="false">base!AG49+base!AH49+L49+M49</f>
        <v>0</v>
      </c>
      <c r="O49" s="14" t="n">
        <f aca="false">N(base!T49)</f>
        <v>2</v>
      </c>
      <c r="P49" s="6" t="n">
        <f aca="false">IFERROR(J49/O49,0)</f>
        <v>0</v>
      </c>
      <c r="Q49" s="6" t="n">
        <f aca="false">IFERROR(N49/O49,0)</f>
        <v>0</v>
      </c>
      <c r="R49" s="6" t="n">
        <f aca="false">Parametros!$B$3*I49+Parametros!$B$4*P49</f>
        <v>0</v>
      </c>
      <c r="S49" s="6" t="n">
        <f aca="false">Parametros!$B$3*I49+Parametros!$B$4*Q49</f>
        <v>0</v>
      </c>
      <c r="T49" s="4" t="str">
        <f aca="false">IF(S49&lt;tablas!$C$3,"No activa",INDEX(tablas!$B$3:$B$8,MATCH(S49,tablas!$C$3:$C$8,1)))</f>
        <v>No activa</v>
      </c>
      <c r="U49" s="15" t="n">
        <f aca="false">IF(S49&lt;tablas!$C$3,0,INDEX(tablas!$D$3:$D$8,MATCH(S49,tablas!$C$3:$C$8,1)))</f>
        <v>0</v>
      </c>
      <c r="V49" s="16" t="n">
        <f aca="false">N(base!AQ49)</f>
        <v>1200</v>
      </c>
      <c r="W49" s="7" t="n">
        <f aca="false">U49*V49</f>
        <v>0</v>
      </c>
      <c r="X49" s="4" t="str">
        <f aca="false">IF(R49&lt;tablas!$C$3,"No activa",INDEX(tablas!$B$3:$B$8,MATCH(R49,tablas!$C$3:$C$8,1)))</f>
        <v>No activa</v>
      </c>
      <c r="Y49" s="7" t="n">
        <f aca="false">IF(R49&lt;tablas!$C$3,0,INDEX(tablas!$D$3:$D$8,MATCH(R49,tablas!$C$3:$C$8,1)))*V49</f>
        <v>0</v>
      </c>
      <c r="Z49" s="4" t="str">
        <f aca="false">IF(S49&gt;=tablas!$C$3,"Activa",IF(S49&gt;=Parametros!$B$5,"Cerca","No activa"))</f>
        <v>No activa</v>
      </c>
      <c r="AA49" s="6" t="n">
        <f aca="false">MAX(0,tablas!$C$3-S49)</f>
        <v>0.8</v>
      </c>
    </row>
    <row r="50" customFormat="false" ht="15" hidden="false" customHeight="false" outlineLevel="0" collapsed="false">
      <c r="A50" s="14" t="str">
        <f aca="false">base!A50</f>
        <v>74824216-9</v>
      </c>
      <c r="B50" s="14" t="str">
        <f aca="false">base!E50</f>
        <v>Outbound Regular</v>
      </c>
      <c r="C50" s="14" t="str">
        <f aca="false">base!D50</f>
        <v>Outbound</v>
      </c>
      <c r="D50" s="14" t="str">
        <f aca="false">base!F50</f>
        <v>GRECIA LANDIVAR PEREZ</v>
      </c>
      <c r="E50" s="14" t="str">
        <f aca="false">base!G50</f>
        <v>ROMULO CHAVEZ ACOSTA</v>
      </c>
      <c r="F50" s="14" t="n">
        <f aca="false">N(base!O50)</f>
        <v>1</v>
      </c>
      <c r="G50" s="4" t="n">
        <f aca="false">SUM(base!U50:AF50)+N(base!AK50)</f>
        <v>0</v>
      </c>
      <c r="H50" s="14" t="n">
        <f aca="false">N(base!S50)</f>
        <v>4</v>
      </c>
      <c r="I50" s="6" t="n">
        <f aca="false">IFERROR(G50/H50,0)</f>
        <v>0</v>
      </c>
      <c r="J50" s="4" t="n">
        <f aca="false">SUM(base!AG50:AJ50)</f>
        <v>2</v>
      </c>
      <c r="K50" s="5" t="n">
        <f aca="false">IFERROR((base!AG50+base!AH50)/(base!K50+base!L50),0)</f>
        <v>1</v>
      </c>
      <c r="L50" s="5" t="n">
        <f aca="false">MAX(N(base!AI50),K50*N(base!M50))</f>
        <v>1</v>
      </c>
      <c r="M50" s="5" t="n">
        <f aca="false">MAX(N(base!AJ50),K50*N(base!N50))</f>
        <v>1</v>
      </c>
      <c r="N50" s="5" t="n">
        <f aca="false">base!AG50+base!AH50+L50+M50</f>
        <v>4</v>
      </c>
      <c r="O50" s="14" t="n">
        <f aca="false">N(base!T50)</f>
        <v>1</v>
      </c>
      <c r="P50" s="6" t="n">
        <f aca="false">IFERROR(J50/O50,0)</f>
        <v>2</v>
      </c>
      <c r="Q50" s="6" t="n">
        <f aca="false">IFERROR(N50/O50,0)</f>
        <v>4</v>
      </c>
      <c r="R50" s="6" t="n">
        <f aca="false">Parametros!$B$3*I50+Parametros!$B$4*P50</f>
        <v>0.6</v>
      </c>
      <c r="S50" s="6" t="n">
        <f aca="false">Parametros!$B$3*I50+Parametros!$B$4*Q50</f>
        <v>1.2</v>
      </c>
      <c r="T50" s="4" t="str">
        <f aca="false">IF(S50&lt;tablas!$C$3,"No activa",INDEX(tablas!$B$3:$B$8,MATCH(S50,tablas!$C$3:$C$8,1)))</f>
        <v>N5</v>
      </c>
      <c r="U50" s="15" t="n">
        <f aca="false">IF(S50&lt;tablas!$C$3,0,INDEX(tablas!$D$3:$D$8,MATCH(S50,tablas!$C$3:$C$8,1)))</f>
        <v>1.5</v>
      </c>
      <c r="V50" s="16" t="n">
        <f aca="false">N(base!AQ50)</f>
        <v>1200</v>
      </c>
      <c r="W50" s="7" t="n">
        <f aca="false">U50*V50</f>
        <v>1800</v>
      </c>
      <c r="X50" s="4" t="str">
        <f aca="false">IF(R50&lt;tablas!$C$3,"No activa",INDEX(tablas!$B$3:$B$8,MATCH(R50,tablas!$C$3:$C$8,1)))</f>
        <v>No activa</v>
      </c>
      <c r="Y50" s="7" t="n">
        <f aca="false">IF(R50&lt;tablas!$C$3,0,INDEX(tablas!$D$3:$D$8,MATCH(R50,tablas!$C$3:$C$8,1)))*V50</f>
        <v>0</v>
      </c>
      <c r="Z50" s="4" t="str">
        <f aca="false">IF(S50&gt;=tablas!$C$3,"Activa",IF(S50&gt;=Parametros!$B$5,"Cerca","No activa"))</f>
        <v>Activa</v>
      </c>
      <c r="AA50" s="6" t="n">
        <f aca="false">MAX(0,tablas!$C$3-S50)</f>
        <v>0</v>
      </c>
    </row>
    <row r="51" customFormat="false" ht="15" hidden="false" customHeight="false" outlineLevel="0" collapsed="false">
      <c r="A51" s="14" t="str">
        <f aca="false">base!A51</f>
        <v>77670185-3</v>
      </c>
      <c r="B51" s="14" t="str">
        <f aca="false">base!E51</f>
        <v>Outbound Regular</v>
      </c>
      <c r="C51" s="14" t="str">
        <f aca="false">base!D51</f>
        <v>Outbound</v>
      </c>
      <c r="D51" s="14" t="str">
        <f aca="false">base!F51</f>
        <v>GRECIA LANDIVAR PEREZ</v>
      </c>
      <c r="E51" s="14" t="str">
        <f aca="false">base!G51</f>
        <v>ROMULO CHAVEZ ACOSTA</v>
      </c>
      <c r="F51" s="14" t="n">
        <f aca="false">N(base!O51)</f>
        <v>1</v>
      </c>
      <c r="G51" s="4" t="n">
        <f aca="false">SUM(base!U51:AF51)+N(base!AK51)</f>
        <v>0</v>
      </c>
      <c r="H51" s="14" t="n">
        <f aca="false">N(base!S51)</f>
        <v>4</v>
      </c>
      <c r="I51" s="6" t="n">
        <f aca="false">IFERROR(G51/H51,0)</f>
        <v>0</v>
      </c>
      <c r="J51" s="4" t="n">
        <f aca="false">SUM(base!AG51:AJ51)</f>
        <v>3</v>
      </c>
      <c r="K51" s="5" t="n">
        <f aca="false">IFERROR((base!AG51+base!AH51)/(base!K51+base!L51),0)</f>
        <v>1</v>
      </c>
      <c r="L51" s="5" t="n">
        <f aca="false">MAX(N(base!AI51),K51*N(base!M51))</f>
        <v>1</v>
      </c>
      <c r="M51" s="5" t="n">
        <f aca="false">MAX(N(base!AJ51),K51*N(base!N51))</f>
        <v>1</v>
      </c>
      <c r="N51" s="5" t="n">
        <f aca="false">base!AG51+base!AH51+L51+M51</f>
        <v>4</v>
      </c>
      <c r="O51" s="14" t="n">
        <f aca="false">N(base!T51)</f>
        <v>2</v>
      </c>
      <c r="P51" s="6" t="n">
        <f aca="false">IFERROR(J51/O51,0)</f>
        <v>1.5</v>
      </c>
      <c r="Q51" s="6" t="n">
        <f aca="false">IFERROR(N51/O51,0)</f>
        <v>2</v>
      </c>
      <c r="R51" s="6" t="n">
        <f aca="false">Parametros!$B$3*I51+Parametros!$B$4*P51</f>
        <v>0.45</v>
      </c>
      <c r="S51" s="6" t="n">
        <f aca="false">Parametros!$B$3*I51+Parametros!$B$4*Q51</f>
        <v>0.6</v>
      </c>
      <c r="T51" s="4" t="str">
        <f aca="false">IF(S51&lt;tablas!$C$3,"No activa",INDEX(tablas!$B$3:$B$8,MATCH(S51,tablas!$C$3:$C$8,1)))</f>
        <v>No activa</v>
      </c>
      <c r="U51" s="15" t="n">
        <f aca="false">IF(S51&lt;tablas!$C$3,0,INDEX(tablas!$D$3:$D$8,MATCH(S51,tablas!$C$3:$C$8,1)))</f>
        <v>0</v>
      </c>
      <c r="V51" s="16" t="n">
        <f aca="false">N(base!AQ51)</f>
        <v>1200</v>
      </c>
      <c r="W51" s="7" t="n">
        <f aca="false">U51*V51</f>
        <v>0</v>
      </c>
      <c r="X51" s="4" t="str">
        <f aca="false">IF(R51&lt;tablas!$C$3,"No activa",INDEX(tablas!$B$3:$B$8,MATCH(R51,tablas!$C$3:$C$8,1)))</f>
        <v>No activa</v>
      </c>
      <c r="Y51" s="7" t="n">
        <f aca="false">IF(R51&lt;tablas!$C$3,0,INDEX(tablas!$D$3:$D$8,MATCH(R51,tablas!$C$3:$C$8,1)))*V51</f>
        <v>0</v>
      </c>
      <c r="Z51" s="4" t="str">
        <f aca="false">IF(S51&gt;=tablas!$C$3,"Activa",IF(S51&gt;=Parametros!$B$5,"Cerca","No activa"))</f>
        <v>No activa</v>
      </c>
      <c r="AA51" s="6" t="n">
        <f aca="false">MAX(0,tablas!$C$3-S51)</f>
        <v>0.2</v>
      </c>
    </row>
    <row r="52" customFormat="false" ht="15" hidden="false" customHeight="false" outlineLevel="0" collapsed="false">
      <c r="A52" s="14" t="str">
        <f aca="false">base!A52</f>
        <v>77147276-7</v>
      </c>
      <c r="B52" s="14" t="str">
        <f aca="false">base!E52</f>
        <v>Outbound Regular</v>
      </c>
      <c r="C52" s="14" t="str">
        <f aca="false">base!D52</f>
        <v>Outbound</v>
      </c>
      <c r="D52" s="14" t="str">
        <f aca="false">base!F52</f>
        <v>GRECIA LANDIVAR PEREZ</v>
      </c>
      <c r="E52" s="14" t="str">
        <f aca="false">base!G52</f>
        <v>ROMULO CHAVEZ ACOSTA</v>
      </c>
      <c r="F52" s="14" t="n">
        <f aca="false">N(base!O52)</f>
        <v>1</v>
      </c>
      <c r="G52" s="4" t="n">
        <f aca="false">SUM(base!U52:AF52)+N(base!AK52)</f>
        <v>4</v>
      </c>
      <c r="H52" s="14" t="n">
        <f aca="false">N(base!S52)</f>
        <v>4</v>
      </c>
      <c r="I52" s="6" t="n">
        <f aca="false">IFERROR(G52/H52,0)</f>
        <v>1</v>
      </c>
      <c r="J52" s="4" t="n">
        <f aca="false">SUM(base!AG52:AJ52)</f>
        <v>1</v>
      </c>
      <c r="K52" s="5" t="n">
        <f aca="false">IFERROR((base!AG52+base!AH52)/(base!K52+base!L52),0)</f>
        <v>0</v>
      </c>
      <c r="L52" s="5" t="n">
        <f aca="false">MAX(N(base!AI52),K52*N(base!M52))</f>
        <v>1</v>
      </c>
      <c r="M52" s="5" t="n">
        <f aca="false">MAX(N(base!AJ52),K52*N(base!N52))</f>
        <v>0</v>
      </c>
      <c r="N52" s="5" t="n">
        <f aca="false">base!AG52+base!AH52+L52+M52</f>
        <v>1</v>
      </c>
      <c r="O52" s="14" t="n">
        <f aca="false">N(base!T52)</f>
        <v>3</v>
      </c>
      <c r="P52" s="6" t="n">
        <f aca="false">IFERROR(J52/O52,0)</f>
        <v>0.333333333333333</v>
      </c>
      <c r="Q52" s="6" t="n">
        <f aca="false">IFERROR(N52/O52,0)</f>
        <v>0.333333333333333</v>
      </c>
      <c r="R52" s="6" t="n">
        <f aca="false">Parametros!$B$3*I52+Parametros!$B$4*P52</f>
        <v>0.8</v>
      </c>
      <c r="S52" s="6" t="n">
        <f aca="false">Parametros!$B$3*I52+Parametros!$B$4*Q52</f>
        <v>0.8</v>
      </c>
      <c r="T52" s="4" t="str">
        <f aca="false">IF(S52&lt;tablas!$C$3,"No activa",INDEX(tablas!$B$3:$B$8,MATCH(S52,tablas!$C$3:$C$8,1)))</f>
        <v>N1</v>
      </c>
      <c r="U52" s="15" t="n">
        <f aca="false">IF(S52&lt;tablas!$C$3,0,INDEX(tablas!$D$3:$D$8,MATCH(S52,tablas!$C$3:$C$8,1)))</f>
        <v>0.3</v>
      </c>
      <c r="V52" s="16" t="n">
        <f aca="false">N(base!AQ52)</f>
        <v>1200</v>
      </c>
      <c r="W52" s="7" t="n">
        <f aca="false">U52*V52</f>
        <v>360</v>
      </c>
      <c r="X52" s="4" t="str">
        <f aca="false">IF(R52&lt;tablas!$C$3,"No activa",INDEX(tablas!$B$3:$B$8,MATCH(R52,tablas!$C$3:$C$8,1)))</f>
        <v>N1</v>
      </c>
      <c r="Y52" s="7" t="n">
        <f aca="false">IF(R52&lt;tablas!$C$3,0,INDEX(tablas!$D$3:$D$8,MATCH(R52,tablas!$C$3:$C$8,1)))*V52</f>
        <v>360</v>
      </c>
      <c r="Z52" s="4" t="str">
        <f aca="false">IF(S52&gt;=tablas!$C$3,"Activa",IF(S52&gt;=Parametros!$B$5,"Cerca","No activa"))</f>
        <v>Activa</v>
      </c>
      <c r="AA52" s="6" t="n">
        <f aca="false">MAX(0,tablas!$C$3-S52)</f>
        <v>0</v>
      </c>
    </row>
    <row r="53" customFormat="false" ht="15" hidden="false" customHeight="false" outlineLevel="0" collapsed="false">
      <c r="A53" s="14" t="str">
        <f aca="false">base!A53</f>
        <v>76036081-9</v>
      </c>
      <c r="B53" s="14" t="str">
        <f aca="false">base!E53</f>
        <v>Outbound Regular</v>
      </c>
      <c r="C53" s="14" t="str">
        <f aca="false">base!D53</f>
        <v>Outbound</v>
      </c>
      <c r="D53" s="14" t="str">
        <f aca="false">base!F53</f>
        <v>GRETA VARGAS ESCOBEDO</v>
      </c>
      <c r="E53" s="14" t="str">
        <f aca="false">base!G53</f>
        <v>ROMULO CHAVEZ ACOSTA</v>
      </c>
      <c r="F53" s="14" t="n">
        <f aca="false">N(base!O53)</f>
        <v>1</v>
      </c>
      <c r="G53" s="4" t="n">
        <f aca="false">SUM(base!U53:AF53)+N(base!AK53)</f>
        <v>0</v>
      </c>
      <c r="H53" s="14" t="n">
        <f aca="false">N(base!S53)</f>
        <v>4</v>
      </c>
      <c r="I53" s="6" t="n">
        <f aca="false">IFERROR(G53/H53,0)</f>
        <v>0</v>
      </c>
      <c r="J53" s="4" t="n">
        <f aca="false">SUM(base!AG53:AJ53)</f>
        <v>3</v>
      </c>
      <c r="K53" s="5" t="n">
        <f aca="false">IFERROR((base!AG53+base!AH53)/(base!K53+base!L53),0)</f>
        <v>1.5</v>
      </c>
      <c r="L53" s="5" t="n">
        <f aca="false">MAX(N(base!AI53),K53*N(base!M53))</f>
        <v>1.5</v>
      </c>
      <c r="M53" s="5" t="n">
        <f aca="false">MAX(N(base!AJ53),K53*N(base!N53))</f>
        <v>1.5</v>
      </c>
      <c r="N53" s="5" t="n">
        <f aca="false">base!AG53+base!AH53+L53+M53</f>
        <v>6</v>
      </c>
      <c r="O53" s="14" t="n">
        <f aca="false">N(base!T53)</f>
        <v>2</v>
      </c>
      <c r="P53" s="6" t="n">
        <f aca="false">IFERROR(J53/O53,0)</f>
        <v>1.5</v>
      </c>
      <c r="Q53" s="6" t="n">
        <f aca="false">IFERROR(N53/O53,0)</f>
        <v>3</v>
      </c>
      <c r="R53" s="6" t="n">
        <f aca="false">Parametros!$B$3*I53+Parametros!$B$4*P53</f>
        <v>0.45</v>
      </c>
      <c r="S53" s="6" t="n">
        <f aca="false">Parametros!$B$3*I53+Parametros!$B$4*Q53</f>
        <v>0.9</v>
      </c>
      <c r="T53" s="4" t="str">
        <f aca="false">IF(S53&lt;tablas!$C$3,"No activa",INDEX(tablas!$B$3:$B$8,MATCH(S53,tablas!$C$3:$C$8,1)))</f>
        <v>N2</v>
      </c>
      <c r="U53" s="15" t="n">
        <f aca="false">IF(S53&lt;tablas!$C$3,0,INDEX(tablas!$D$3:$D$8,MATCH(S53,tablas!$C$3:$C$8,1)))</f>
        <v>0.9</v>
      </c>
      <c r="V53" s="16" t="n">
        <f aca="false">N(base!AQ53)</f>
        <v>1200</v>
      </c>
      <c r="W53" s="7" t="n">
        <f aca="false">U53*V53</f>
        <v>1080</v>
      </c>
      <c r="X53" s="4" t="str">
        <f aca="false">IF(R53&lt;tablas!$C$3,"No activa",INDEX(tablas!$B$3:$B$8,MATCH(R53,tablas!$C$3:$C$8,1)))</f>
        <v>No activa</v>
      </c>
      <c r="Y53" s="7" t="n">
        <f aca="false">IF(R53&lt;tablas!$C$3,0,INDEX(tablas!$D$3:$D$8,MATCH(R53,tablas!$C$3:$C$8,1)))*V53</f>
        <v>0</v>
      </c>
      <c r="Z53" s="4" t="str">
        <f aca="false">IF(S53&gt;=tablas!$C$3,"Activa",IF(S53&gt;=Parametros!$B$5,"Cerca","No activa"))</f>
        <v>Activa</v>
      </c>
      <c r="AA53" s="6" t="n">
        <f aca="false">MAX(0,tablas!$C$3-S53)</f>
        <v>0</v>
      </c>
    </row>
    <row r="54" customFormat="false" ht="15" hidden="false" customHeight="false" outlineLevel="0" collapsed="false">
      <c r="A54" s="14" t="str">
        <f aca="false">base!A54</f>
        <v>75656015-3</v>
      </c>
      <c r="B54" s="14" t="str">
        <f aca="false">base!E54</f>
        <v>Outbound Regular</v>
      </c>
      <c r="C54" s="14" t="str">
        <f aca="false">base!D54</f>
        <v>Outbound</v>
      </c>
      <c r="D54" s="14" t="str">
        <f aca="false">base!F54</f>
        <v>GRETA VARGAS ESCOBEDO</v>
      </c>
      <c r="E54" s="14" t="str">
        <f aca="false">base!G54</f>
        <v>ROMULO CHAVEZ ACOSTA</v>
      </c>
      <c r="F54" s="14" t="n">
        <f aca="false">N(base!O54)</f>
        <v>1</v>
      </c>
      <c r="G54" s="4" t="n">
        <f aca="false">SUM(base!U54:AF54)+N(base!AK54)</f>
        <v>0</v>
      </c>
      <c r="H54" s="14" t="n">
        <f aca="false">N(base!S54)</f>
        <v>4</v>
      </c>
      <c r="I54" s="6" t="n">
        <f aca="false">IFERROR(G54/H54,0)</f>
        <v>0</v>
      </c>
      <c r="J54" s="4" t="n">
        <f aca="false">SUM(base!AG54:AJ54)</f>
        <v>1</v>
      </c>
      <c r="K54" s="5" t="n">
        <f aca="false">IFERROR((base!AG54+base!AH54)/(base!K54+base!L54),0)</f>
        <v>0.5</v>
      </c>
      <c r="L54" s="5" t="n">
        <f aca="false">MAX(N(base!AI54),K54*N(base!M54))</f>
        <v>0.5</v>
      </c>
      <c r="M54" s="5" t="n">
        <f aca="false">MAX(N(base!AJ54),K54*N(base!N54))</f>
        <v>0.5</v>
      </c>
      <c r="N54" s="5" t="n">
        <f aca="false">base!AG54+base!AH54+L54+M54</f>
        <v>2</v>
      </c>
      <c r="O54" s="14" t="n">
        <f aca="false">N(base!T54)</f>
        <v>2</v>
      </c>
      <c r="P54" s="6" t="n">
        <f aca="false">IFERROR(J54/O54,0)</f>
        <v>0.5</v>
      </c>
      <c r="Q54" s="6" t="n">
        <f aca="false">IFERROR(N54/O54,0)</f>
        <v>1</v>
      </c>
      <c r="R54" s="6" t="n">
        <f aca="false">Parametros!$B$3*I54+Parametros!$B$4*P54</f>
        <v>0.15</v>
      </c>
      <c r="S54" s="6" t="n">
        <f aca="false">Parametros!$B$3*I54+Parametros!$B$4*Q54</f>
        <v>0.3</v>
      </c>
      <c r="T54" s="4" t="str">
        <f aca="false">IF(S54&lt;tablas!$C$3,"No activa",INDEX(tablas!$B$3:$B$8,MATCH(S54,tablas!$C$3:$C$8,1)))</f>
        <v>No activa</v>
      </c>
      <c r="U54" s="15" t="n">
        <f aca="false">IF(S54&lt;tablas!$C$3,0,INDEX(tablas!$D$3:$D$8,MATCH(S54,tablas!$C$3:$C$8,1)))</f>
        <v>0</v>
      </c>
      <c r="V54" s="16" t="n">
        <f aca="false">N(base!AQ54)</f>
        <v>1200</v>
      </c>
      <c r="W54" s="7" t="n">
        <f aca="false">U54*V54</f>
        <v>0</v>
      </c>
      <c r="X54" s="4" t="str">
        <f aca="false">IF(R54&lt;tablas!$C$3,"No activa",INDEX(tablas!$B$3:$B$8,MATCH(R54,tablas!$C$3:$C$8,1)))</f>
        <v>No activa</v>
      </c>
      <c r="Y54" s="7" t="n">
        <f aca="false">IF(R54&lt;tablas!$C$3,0,INDEX(tablas!$D$3:$D$8,MATCH(R54,tablas!$C$3:$C$8,1)))*V54</f>
        <v>0</v>
      </c>
      <c r="Z54" s="4" t="str">
        <f aca="false">IF(S54&gt;=tablas!$C$3,"Activa",IF(S54&gt;=Parametros!$B$5,"Cerca","No activa"))</f>
        <v>No activa</v>
      </c>
      <c r="AA54" s="6" t="n">
        <f aca="false">MAX(0,tablas!$C$3-S54)</f>
        <v>0.5</v>
      </c>
    </row>
    <row r="55" customFormat="false" ht="15" hidden="false" customHeight="false" outlineLevel="0" collapsed="false">
      <c r="A55" s="14" t="str">
        <f aca="false">base!A55</f>
        <v>76378720-1</v>
      </c>
      <c r="B55" s="14" t="str">
        <f aca="false">base!E55</f>
        <v>Outbound Regular</v>
      </c>
      <c r="C55" s="14" t="str">
        <f aca="false">base!D55</f>
        <v>Outbound</v>
      </c>
      <c r="D55" s="14" t="str">
        <f aca="false">base!F55</f>
        <v>GRETA VARGAS ESCOBEDO</v>
      </c>
      <c r="E55" s="14" t="str">
        <f aca="false">base!G55</f>
        <v>ROMULO CHAVEZ ACOSTA</v>
      </c>
      <c r="F55" s="14" t="n">
        <f aca="false">N(base!O55)</f>
        <v>1</v>
      </c>
      <c r="G55" s="4" t="n">
        <f aca="false">SUM(base!U55:AF55)+N(base!AK55)</f>
        <v>0</v>
      </c>
      <c r="H55" s="14" t="n">
        <f aca="false">N(base!S55)</f>
        <v>4</v>
      </c>
      <c r="I55" s="6" t="n">
        <f aca="false">IFERROR(G55/H55,0)</f>
        <v>0</v>
      </c>
      <c r="J55" s="4" t="n">
        <f aca="false">SUM(base!AG55:AJ55)</f>
        <v>3</v>
      </c>
      <c r="K55" s="5" t="n">
        <f aca="false">IFERROR((base!AG55+base!AH55)/(base!K55+base!L55),0)</f>
        <v>1.5</v>
      </c>
      <c r="L55" s="5" t="n">
        <f aca="false">MAX(N(base!AI55),K55*N(base!M55))</f>
        <v>1.5</v>
      </c>
      <c r="M55" s="5" t="n">
        <f aca="false">MAX(N(base!AJ55),K55*N(base!N55))</f>
        <v>1.5</v>
      </c>
      <c r="N55" s="5" t="n">
        <f aca="false">base!AG55+base!AH55+L55+M55</f>
        <v>6</v>
      </c>
      <c r="O55" s="14" t="n">
        <f aca="false">N(base!T55)</f>
        <v>2</v>
      </c>
      <c r="P55" s="6" t="n">
        <f aca="false">IFERROR(J55/O55,0)</f>
        <v>1.5</v>
      </c>
      <c r="Q55" s="6" t="n">
        <f aca="false">IFERROR(N55/O55,0)</f>
        <v>3</v>
      </c>
      <c r="R55" s="6" t="n">
        <f aca="false">Parametros!$B$3*I55+Parametros!$B$4*P55</f>
        <v>0.45</v>
      </c>
      <c r="S55" s="6" t="n">
        <f aca="false">Parametros!$B$3*I55+Parametros!$B$4*Q55</f>
        <v>0.9</v>
      </c>
      <c r="T55" s="4" t="str">
        <f aca="false">IF(S55&lt;tablas!$C$3,"No activa",INDEX(tablas!$B$3:$B$8,MATCH(S55,tablas!$C$3:$C$8,1)))</f>
        <v>N2</v>
      </c>
      <c r="U55" s="15" t="n">
        <f aca="false">IF(S55&lt;tablas!$C$3,0,INDEX(tablas!$D$3:$D$8,MATCH(S55,tablas!$C$3:$C$8,1)))</f>
        <v>0.9</v>
      </c>
      <c r="V55" s="16" t="n">
        <f aca="false">N(base!AQ55)</f>
        <v>1200</v>
      </c>
      <c r="W55" s="7" t="n">
        <f aca="false">U55*V55</f>
        <v>1080</v>
      </c>
      <c r="X55" s="4" t="str">
        <f aca="false">IF(R55&lt;tablas!$C$3,"No activa",INDEX(tablas!$B$3:$B$8,MATCH(R55,tablas!$C$3:$C$8,1)))</f>
        <v>No activa</v>
      </c>
      <c r="Y55" s="7" t="n">
        <f aca="false">IF(R55&lt;tablas!$C$3,0,INDEX(tablas!$D$3:$D$8,MATCH(R55,tablas!$C$3:$C$8,1)))*V55</f>
        <v>0</v>
      </c>
      <c r="Z55" s="4" t="str">
        <f aca="false">IF(S55&gt;=tablas!$C$3,"Activa",IF(S55&gt;=Parametros!$B$5,"Cerca","No activa"))</f>
        <v>Activa</v>
      </c>
      <c r="AA55" s="6" t="n">
        <f aca="false">MAX(0,tablas!$C$3-S55)</f>
        <v>0</v>
      </c>
    </row>
    <row r="56" customFormat="false" ht="15" hidden="false" customHeight="false" outlineLevel="0" collapsed="false">
      <c r="A56" s="14" t="str">
        <f aca="false">base!A56</f>
        <v>77679638-2</v>
      </c>
      <c r="B56" s="14" t="str">
        <f aca="false">base!E56</f>
        <v>Outbound Regular</v>
      </c>
      <c r="C56" s="14" t="str">
        <f aca="false">base!D56</f>
        <v>Outbound</v>
      </c>
      <c r="D56" s="14" t="str">
        <f aca="false">base!F56</f>
        <v>GRETA VARGAS ESCOBEDO</v>
      </c>
      <c r="E56" s="14" t="str">
        <f aca="false">base!G56</f>
        <v>ROMULO CHAVEZ ACOSTA</v>
      </c>
      <c r="F56" s="14" t="n">
        <f aca="false">N(base!O56)</f>
        <v>1</v>
      </c>
      <c r="G56" s="4" t="n">
        <f aca="false">SUM(base!U56:AF56)+N(base!AK56)</f>
        <v>0</v>
      </c>
      <c r="H56" s="14" t="n">
        <f aca="false">N(base!S56)</f>
        <v>4</v>
      </c>
      <c r="I56" s="6" t="n">
        <f aca="false">IFERROR(G56/H56,0)</f>
        <v>0</v>
      </c>
      <c r="J56" s="4" t="n">
        <f aca="false">SUM(base!AG56:AJ56)</f>
        <v>4</v>
      </c>
      <c r="K56" s="5" t="n">
        <f aca="false">IFERROR((base!AG56+base!AH56)/(base!K56+base!L56),0)</f>
        <v>1.5</v>
      </c>
      <c r="L56" s="5" t="n">
        <f aca="false">MAX(N(base!AI56),K56*N(base!M56))</f>
        <v>1.5</v>
      </c>
      <c r="M56" s="5" t="n">
        <f aca="false">MAX(N(base!AJ56),K56*N(base!N56))</f>
        <v>1.5</v>
      </c>
      <c r="N56" s="5" t="n">
        <f aca="false">base!AG56+base!AH56+L56+M56</f>
        <v>6</v>
      </c>
      <c r="O56" s="14" t="n">
        <f aca="false">N(base!T56)</f>
        <v>2</v>
      </c>
      <c r="P56" s="6" t="n">
        <f aca="false">IFERROR(J56/O56,0)</f>
        <v>2</v>
      </c>
      <c r="Q56" s="6" t="n">
        <f aca="false">IFERROR(N56/O56,0)</f>
        <v>3</v>
      </c>
      <c r="R56" s="6" t="n">
        <f aca="false">Parametros!$B$3*I56+Parametros!$B$4*P56</f>
        <v>0.6</v>
      </c>
      <c r="S56" s="6" t="n">
        <f aca="false">Parametros!$B$3*I56+Parametros!$B$4*Q56</f>
        <v>0.9</v>
      </c>
      <c r="T56" s="4" t="str">
        <f aca="false">IF(S56&lt;tablas!$C$3,"No activa",INDEX(tablas!$B$3:$B$8,MATCH(S56,tablas!$C$3:$C$8,1)))</f>
        <v>N2</v>
      </c>
      <c r="U56" s="15" t="n">
        <f aca="false">IF(S56&lt;tablas!$C$3,0,INDEX(tablas!$D$3:$D$8,MATCH(S56,tablas!$C$3:$C$8,1)))</f>
        <v>0.9</v>
      </c>
      <c r="V56" s="16" t="n">
        <f aca="false">N(base!AQ56)</f>
        <v>1200</v>
      </c>
      <c r="W56" s="7" t="n">
        <f aca="false">U56*V56</f>
        <v>1080</v>
      </c>
      <c r="X56" s="4" t="str">
        <f aca="false">IF(R56&lt;tablas!$C$3,"No activa",INDEX(tablas!$B$3:$B$8,MATCH(R56,tablas!$C$3:$C$8,1)))</f>
        <v>No activa</v>
      </c>
      <c r="Y56" s="7" t="n">
        <f aca="false">IF(R56&lt;tablas!$C$3,0,INDEX(tablas!$D$3:$D$8,MATCH(R56,tablas!$C$3:$C$8,1)))*V56</f>
        <v>0</v>
      </c>
      <c r="Z56" s="4" t="str">
        <f aca="false">IF(S56&gt;=tablas!$C$3,"Activa",IF(S56&gt;=Parametros!$B$5,"Cerca","No activa"))</f>
        <v>Activa</v>
      </c>
      <c r="AA56" s="6" t="n">
        <f aca="false">MAX(0,tablas!$C$3-S56)</f>
        <v>0</v>
      </c>
    </row>
    <row r="57" customFormat="false" ht="15" hidden="false" customHeight="false" outlineLevel="0" collapsed="false">
      <c r="A57" s="14" t="str">
        <f aca="false">base!A57</f>
        <v>73738513-8</v>
      </c>
      <c r="B57" s="14" t="str">
        <f aca="false">base!E57</f>
        <v>Outbound Premium</v>
      </c>
      <c r="C57" s="14" t="str">
        <f aca="false">base!D57</f>
        <v>Outbound</v>
      </c>
      <c r="D57" s="14" t="str">
        <f aca="false">base!F57</f>
        <v>OMAR AGUILAR TELLO</v>
      </c>
      <c r="E57" s="14" t="str">
        <f aca="false">base!G57</f>
        <v>ROMULO CHAVEZ ACOSTA</v>
      </c>
      <c r="F57" s="14" t="n">
        <f aca="false">N(base!O57)</f>
        <v>1</v>
      </c>
      <c r="G57" s="4" t="n">
        <f aca="false">SUM(base!U57:AF57)+N(base!AK57)</f>
        <v>4</v>
      </c>
      <c r="H57" s="14" t="n">
        <f aca="false">N(base!S57)</f>
        <v>5</v>
      </c>
      <c r="I57" s="6" t="n">
        <f aca="false">IFERROR(G57/H57,0)</f>
        <v>0.8</v>
      </c>
      <c r="J57" s="4" t="n">
        <f aca="false">SUM(base!AG57:AJ57)</f>
        <v>0</v>
      </c>
      <c r="K57" s="5" t="n">
        <f aca="false">IFERROR((base!AG57+base!AH57)/(base!K57+base!L57),0)</f>
        <v>0</v>
      </c>
      <c r="L57" s="5" t="n">
        <f aca="false">MAX(N(base!AI57),K57*N(base!M57))</f>
        <v>0</v>
      </c>
      <c r="M57" s="5" t="n">
        <f aca="false">MAX(N(base!AJ57),K57*N(base!N57))</f>
        <v>0</v>
      </c>
      <c r="N57" s="5" t="n">
        <f aca="false">base!AG57+base!AH57+L57+M57</f>
        <v>0</v>
      </c>
      <c r="O57" s="14" t="n">
        <f aca="false">N(base!T57)</f>
        <v>2</v>
      </c>
      <c r="P57" s="6" t="n">
        <f aca="false">IFERROR(J57/O57,0)</f>
        <v>0</v>
      </c>
      <c r="Q57" s="6" t="n">
        <f aca="false">IFERROR(N57/O57,0)</f>
        <v>0</v>
      </c>
      <c r="R57" s="6" t="n">
        <f aca="false">Parametros!$B$3*I57+Parametros!$B$4*P57</f>
        <v>0.56</v>
      </c>
      <c r="S57" s="6" t="n">
        <f aca="false">Parametros!$B$3*I57+Parametros!$B$4*Q57</f>
        <v>0.56</v>
      </c>
      <c r="T57" s="4" t="str">
        <f aca="false">IF(S57&lt;tablas!$C$3,"No activa",INDEX(tablas!$B$3:$B$8,MATCH(S57,tablas!$C$3:$C$8,1)))</f>
        <v>No activa</v>
      </c>
      <c r="U57" s="15" t="n">
        <f aca="false">IF(S57&lt;tablas!$C$3,0,INDEX(tablas!$D$3:$D$8,MATCH(S57,tablas!$C$3:$C$8,1)))</f>
        <v>0</v>
      </c>
      <c r="V57" s="16" t="n">
        <f aca="false">N(base!AQ57)</f>
        <v>1200</v>
      </c>
      <c r="W57" s="7" t="n">
        <f aca="false">U57*V57</f>
        <v>0</v>
      </c>
      <c r="X57" s="4" t="str">
        <f aca="false">IF(R57&lt;tablas!$C$3,"No activa",INDEX(tablas!$B$3:$B$8,MATCH(R57,tablas!$C$3:$C$8,1)))</f>
        <v>No activa</v>
      </c>
      <c r="Y57" s="7" t="n">
        <f aca="false">IF(R57&lt;tablas!$C$3,0,INDEX(tablas!$D$3:$D$8,MATCH(R57,tablas!$C$3:$C$8,1)))*V57</f>
        <v>0</v>
      </c>
      <c r="Z57" s="4" t="str">
        <f aca="false">IF(S57&gt;=tablas!$C$3,"Activa",IF(S57&gt;=Parametros!$B$5,"Cerca","No activa"))</f>
        <v>No activa</v>
      </c>
      <c r="AA57" s="6" t="n">
        <f aca="false">MAX(0,tablas!$C$3-S57)</f>
        <v>0.24</v>
      </c>
    </row>
    <row r="58" customFormat="false" ht="15" hidden="false" customHeight="false" outlineLevel="0" collapsed="false">
      <c r="A58" s="14" t="str">
        <f aca="false">base!A58</f>
        <v>76579399-3</v>
      </c>
      <c r="B58" s="14" t="str">
        <f aca="false">base!E58</f>
        <v>Outbound Premium</v>
      </c>
      <c r="C58" s="14" t="str">
        <f aca="false">base!D58</f>
        <v>Outbound</v>
      </c>
      <c r="D58" s="14" t="str">
        <f aca="false">base!F58</f>
        <v>OMAR AGUILAR TELLO</v>
      </c>
      <c r="E58" s="14" t="str">
        <f aca="false">base!G58</f>
        <v>ROMULO CHAVEZ ACOSTA</v>
      </c>
      <c r="F58" s="14" t="n">
        <f aca="false">N(base!O58)</f>
        <v>1</v>
      </c>
      <c r="G58" s="4" t="n">
        <f aca="false">SUM(base!U58:AF58)+N(base!AK58)</f>
        <v>0</v>
      </c>
      <c r="H58" s="14" t="n">
        <f aca="false">N(base!S58)</f>
        <v>5</v>
      </c>
      <c r="I58" s="6" t="n">
        <f aca="false">IFERROR(G58/H58,0)</f>
        <v>0</v>
      </c>
      <c r="J58" s="4" t="n">
        <f aca="false">SUM(base!AG58:AJ58)</f>
        <v>0</v>
      </c>
      <c r="K58" s="5" t="n">
        <f aca="false">IFERROR((base!AG58+base!AH58)/(base!K58+base!L58),0)</f>
        <v>0</v>
      </c>
      <c r="L58" s="5" t="n">
        <f aca="false">MAX(N(base!AI58),K58*N(base!M58))</f>
        <v>0</v>
      </c>
      <c r="M58" s="5" t="n">
        <f aca="false">MAX(N(base!AJ58),K58*N(base!N58))</f>
        <v>0</v>
      </c>
      <c r="N58" s="5" t="n">
        <f aca="false">base!AG58+base!AH58+L58+M58</f>
        <v>0</v>
      </c>
      <c r="O58" s="14" t="n">
        <f aca="false">N(base!T58)</f>
        <v>2</v>
      </c>
      <c r="P58" s="6" t="n">
        <f aca="false">IFERROR(J58/O58,0)</f>
        <v>0</v>
      </c>
      <c r="Q58" s="6" t="n">
        <f aca="false">IFERROR(N58/O58,0)</f>
        <v>0</v>
      </c>
      <c r="R58" s="6" t="n">
        <f aca="false">Parametros!$B$3*I58+Parametros!$B$4*P58</f>
        <v>0</v>
      </c>
      <c r="S58" s="6" t="n">
        <f aca="false">Parametros!$B$3*I58+Parametros!$B$4*Q58</f>
        <v>0</v>
      </c>
      <c r="T58" s="4" t="str">
        <f aca="false">IF(S58&lt;tablas!$C$3,"No activa",INDEX(tablas!$B$3:$B$8,MATCH(S58,tablas!$C$3:$C$8,1)))</f>
        <v>No activa</v>
      </c>
      <c r="U58" s="15" t="n">
        <f aca="false">IF(S58&lt;tablas!$C$3,0,INDEX(tablas!$D$3:$D$8,MATCH(S58,tablas!$C$3:$C$8,1)))</f>
        <v>0</v>
      </c>
      <c r="V58" s="16" t="n">
        <f aca="false">N(base!AQ58)</f>
        <v>1200</v>
      </c>
      <c r="W58" s="7" t="n">
        <f aca="false">U58*V58</f>
        <v>0</v>
      </c>
      <c r="X58" s="4" t="str">
        <f aca="false">IF(R58&lt;tablas!$C$3,"No activa",INDEX(tablas!$B$3:$B$8,MATCH(R58,tablas!$C$3:$C$8,1)))</f>
        <v>No activa</v>
      </c>
      <c r="Y58" s="7" t="n">
        <f aca="false">IF(R58&lt;tablas!$C$3,0,INDEX(tablas!$D$3:$D$8,MATCH(R58,tablas!$C$3:$C$8,1)))*V58</f>
        <v>0</v>
      </c>
      <c r="Z58" s="4" t="str">
        <f aca="false">IF(S58&gt;=tablas!$C$3,"Activa",IF(S58&gt;=Parametros!$B$5,"Cerca","No activa"))</f>
        <v>No activa</v>
      </c>
      <c r="AA58" s="6" t="n">
        <f aca="false">MAX(0,tablas!$C$3-S58)</f>
        <v>0.8</v>
      </c>
    </row>
    <row r="59" customFormat="false" ht="15" hidden="false" customHeight="false" outlineLevel="0" collapsed="false">
      <c r="A59" s="14" t="str">
        <f aca="false">base!A59</f>
        <v>71457679-3</v>
      </c>
      <c r="B59" s="14" t="str">
        <f aca="false">base!E59</f>
        <v>Outbound Premium</v>
      </c>
      <c r="C59" s="14" t="str">
        <f aca="false">base!D59</f>
        <v>Outbound</v>
      </c>
      <c r="D59" s="14" t="str">
        <f aca="false">base!F59</f>
        <v>OMAR AGUILAR TELLO</v>
      </c>
      <c r="E59" s="14" t="str">
        <f aca="false">base!G59</f>
        <v>ROMULO CHAVEZ ACOSTA</v>
      </c>
      <c r="F59" s="14" t="n">
        <f aca="false">N(base!O59)</f>
        <v>1</v>
      </c>
      <c r="G59" s="4" t="n">
        <f aca="false">SUM(base!U59:AF59)+N(base!AK59)</f>
        <v>0</v>
      </c>
      <c r="H59" s="14" t="n">
        <f aca="false">N(base!S59)</f>
        <v>5</v>
      </c>
      <c r="I59" s="6" t="n">
        <f aca="false">IFERROR(G59/H59,0)</f>
        <v>0</v>
      </c>
      <c r="J59" s="4" t="n">
        <f aca="false">SUM(base!AG59:AJ59)</f>
        <v>1</v>
      </c>
      <c r="K59" s="5" t="n">
        <f aca="false">IFERROR((base!AG59+base!AH59)/(base!K59+base!L59),0)</f>
        <v>0.5</v>
      </c>
      <c r="L59" s="5" t="n">
        <f aca="false">MAX(N(base!AI59),K59*N(base!M59))</f>
        <v>0.5</v>
      </c>
      <c r="M59" s="5" t="n">
        <f aca="false">MAX(N(base!AJ59),K59*N(base!N59))</f>
        <v>0.5</v>
      </c>
      <c r="N59" s="5" t="n">
        <f aca="false">base!AG59+base!AH59+L59+M59</f>
        <v>2</v>
      </c>
      <c r="O59" s="14" t="n">
        <f aca="false">N(base!T59)</f>
        <v>2</v>
      </c>
      <c r="P59" s="6" t="n">
        <f aca="false">IFERROR(J59/O59,0)</f>
        <v>0.5</v>
      </c>
      <c r="Q59" s="6" t="n">
        <f aca="false">IFERROR(N59/O59,0)</f>
        <v>1</v>
      </c>
      <c r="R59" s="6" t="n">
        <f aca="false">Parametros!$B$3*I59+Parametros!$B$4*P59</f>
        <v>0.15</v>
      </c>
      <c r="S59" s="6" t="n">
        <f aca="false">Parametros!$B$3*I59+Parametros!$B$4*Q59</f>
        <v>0.3</v>
      </c>
      <c r="T59" s="4" t="str">
        <f aca="false">IF(S59&lt;tablas!$C$3,"No activa",INDEX(tablas!$B$3:$B$8,MATCH(S59,tablas!$C$3:$C$8,1)))</f>
        <v>No activa</v>
      </c>
      <c r="U59" s="15" t="n">
        <f aca="false">IF(S59&lt;tablas!$C$3,0,INDEX(tablas!$D$3:$D$8,MATCH(S59,tablas!$C$3:$C$8,1)))</f>
        <v>0</v>
      </c>
      <c r="V59" s="16" t="n">
        <f aca="false">N(base!AQ59)</f>
        <v>1200</v>
      </c>
      <c r="W59" s="7" t="n">
        <f aca="false">U59*V59</f>
        <v>0</v>
      </c>
      <c r="X59" s="4" t="str">
        <f aca="false">IF(R59&lt;tablas!$C$3,"No activa",INDEX(tablas!$B$3:$B$8,MATCH(R59,tablas!$C$3:$C$8,1)))</f>
        <v>No activa</v>
      </c>
      <c r="Y59" s="7" t="n">
        <f aca="false">IF(R59&lt;tablas!$C$3,0,INDEX(tablas!$D$3:$D$8,MATCH(R59,tablas!$C$3:$C$8,1)))*V59</f>
        <v>0</v>
      </c>
      <c r="Z59" s="4" t="str">
        <f aca="false">IF(S59&gt;=tablas!$C$3,"Activa",IF(S59&gt;=Parametros!$B$5,"Cerca","No activa"))</f>
        <v>No activa</v>
      </c>
      <c r="AA59" s="6" t="n">
        <f aca="false">MAX(0,tablas!$C$3-S59)</f>
        <v>0.5</v>
      </c>
    </row>
    <row r="60" customFormat="false" ht="15" hidden="false" customHeight="false" outlineLevel="0" collapsed="false">
      <c r="A60" s="14" t="str">
        <f aca="false">base!A60</f>
        <v>70701954-4</v>
      </c>
      <c r="B60" s="14" t="str">
        <f aca="false">base!E60</f>
        <v>Outbound Premium</v>
      </c>
      <c r="C60" s="14" t="str">
        <f aca="false">base!D60</f>
        <v>Outbound</v>
      </c>
      <c r="D60" s="14" t="str">
        <f aca="false">base!F60</f>
        <v>OMAR AGUILAR TELLO</v>
      </c>
      <c r="E60" s="14" t="str">
        <f aca="false">base!G60</f>
        <v>ROMULO CHAVEZ ACOSTA</v>
      </c>
      <c r="F60" s="14" t="n">
        <f aca="false">N(base!O60)</f>
        <v>1</v>
      </c>
      <c r="G60" s="4" t="n">
        <f aca="false">SUM(base!U60:AF60)+N(base!AK60)</f>
        <v>15</v>
      </c>
      <c r="H60" s="14" t="n">
        <f aca="false">N(base!S60)</f>
        <v>5</v>
      </c>
      <c r="I60" s="6" t="n">
        <f aca="false">IFERROR(G60/H60,0)</f>
        <v>3</v>
      </c>
      <c r="J60" s="4" t="n">
        <f aca="false">SUM(base!AG60:AJ60)</f>
        <v>0</v>
      </c>
      <c r="K60" s="5" t="n">
        <f aca="false">IFERROR((base!AG60+base!AH60)/(base!K60+base!L60),0)</f>
        <v>0</v>
      </c>
      <c r="L60" s="5" t="n">
        <f aca="false">MAX(N(base!AI60),K60*N(base!M60))</f>
        <v>0</v>
      </c>
      <c r="M60" s="5" t="n">
        <f aca="false">MAX(N(base!AJ60),K60*N(base!N60))</f>
        <v>0</v>
      </c>
      <c r="N60" s="5" t="n">
        <f aca="false">base!AG60+base!AH60+L60+M60</f>
        <v>0</v>
      </c>
      <c r="O60" s="14" t="n">
        <f aca="false">N(base!T60)</f>
        <v>3</v>
      </c>
      <c r="P60" s="6" t="n">
        <f aca="false">IFERROR(J60/O60,0)</f>
        <v>0</v>
      </c>
      <c r="Q60" s="6" t="n">
        <f aca="false">IFERROR(N60/O60,0)</f>
        <v>0</v>
      </c>
      <c r="R60" s="6" t="n">
        <f aca="false">Parametros!$B$3*I60+Parametros!$B$4*P60</f>
        <v>2.1</v>
      </c>
      <c r="S60" s="6" t="n">
        <f aca="false">Parametros!$B$3*I60+Parametros!$B$4*Q60</f>
        <v>2.1</v>
      </c>
      <c r="T60" s="4" t="str">
        <f aca="false">IF(S60&lt;tablas!$C$3,"No activa",INDEX(tablas!$B$3:$B$8,MATCH(S60,tablas!$C$3:$C$8,1)))</f>
        <v>N6</v>
      </c>
      <c r="U60" s="15" t="n">
        <f aca="false">IF(S60&lt;tablas!$C$3,0,INDEX(tablas!$D$3:$D$8,MATCH(S60,tablas!$C$3:$C$8,1)))</f>
        <v>2</v>
      </c>
      <c r="V60" s="16" t="n">
        <f aca="false">N(base!AQ60)</f>
        <v>1200</v>
      </c>
      <c r="W60" s="7" t="n">
        <f aca="false">U60*V60</f>
        <v>2400</v>
      </c>
      <c r="X60" s="4" t="str">
        <f aca="false">IF(R60&lt;tablas!$C$3,"No activa",INDEX(tablas!$B$3:$B$8,MATCH(R60,tablas!$C$3:$C$8,1)))</f>
        <v>N6</v>
      </c>
      <c r="Y60" s="7" t="n">
        <f aca="false">IF(R60&lt;tablas!$C$3,0,INDEX(tablas!$D$3:$D$8,MATCH(R60,tablas!$C$3:$C$8,1)))*V60</f>
        <v>2400</v>
      </c>
      <c r="Z60" s="4" t="str">
        <f aca="false">IF(S60&gt;=tablas!$C$3,"Activa",IF(S60&gt;=Parametros!$B$5,"Cerca","No activa"))</f>
        <v>Activa</v>
      </c>
      <c r="AA60" s="6" t="n">
        <f aca="false">MAX(0,tablas!$C$3-S60)</f>
        <v>0</v>
      </c>
    </row>
    <row r="61" customFormat="false" ht="15" hidden="false" customHeight="false" outlineLevel="0" collapsed="false">
      <c r="A61" s="14" t="str">
        <f aca="false">base!A61</f>
        <v>72325179-1</v>
      </c>
      <c r="B61" s="14" t="str">
        <f aca="false">base!E61</f>
        <v>Outbound Premium</v>
      </c>
      <c r="C61" s="14" t="str">
        <f aca="false">base!D61</f>
        <v>Outbound</v>
      </c>
      <c r="D61" s="14" t="str">
        <f aca="false">base!F61</f>
        <v>OMAR AGUILAR TELLO</v>
      </c>
      <c r="E61" s="14" t="str">
        <f aca="false">base!G61</f>
        <v>ROMULO CHAVEZ ACOSTA</v>
      </c>
      <c r="F61" s="14" t="n">
        <f aca="false">N(base!O61)</f>
        <v>1</v>
      </c>
      <c r="G61" s="4" t="n">
        <f aca="false">SUM(base!U61:AF61)+N(base!AK61)</f>
        <v>0</v>
      </c>
      <c r="H61" s="14" t="n">
        <f aca="false">N(base!S61)</f>
        <v>5</v>
      </c>
      <c r="I61" s="6" t="n">
        <f aca="false">IFERROR(G61/H61,0)</f>
        <v>0</v>
      </c>
      <c r="J61" s="4" t="n">
        <f aca="false">SUM(base!AG61:AJ61)</f>
        <v>1</v>
      </c>
      <c r="K61" s="5" t="n">
        <f aca="false">IFERROR((base!AG61+base!AH61)/(base!K61+base!L61),0)</f>
        <v>0.5</v>
      </c>
      <c r="L61" s="5" t="n">
        <f aca="false">MAX(N(base!AI61),K61*N(base!M61))</f>
        <v>0.5</v>
      </c>
      <c r="M61" s="5" t="n">
        <f aca="false">MAX(N(base!AJ61),K61*N(base!N61))</f>
        <v>0.5</v>
      </c>
      <c r="N61" s="5" t="n">
        <f aca="false">base!AG61+base!AH61+L61+M61</f>
        <v>2</v>
      </c>
      <c r="O61" s="14" t="n">
        <f aca="false">N(base!T61)</f>
        <v>4</v>
      </c>
      <c r="P61" s="6" t="n">
        <f aca="false">IFERROR(J61/O61,0)</f>
        <v>0.25</v>
      </c>
      <c r="Q61" s="6" t="n">
        <f aca="false">IFERROR(N61/O61,0)</f>
        <v>0.5</v>
      </c>
      <c r="R61" s="6" t="n">
        <f aca="false">Parametros!$B$3*I61+Parametros!$B$4*P61</f>
        <v>0.075</v>
      </c>
      <c r="S61" s="6" t="n">
        <f aca="false">Parametros!$B$3*I61+Parametros!$B$4*Q61</f>
        <v>0.15</v>
      </c>
      <c r="T61" s="4" t="str">
        <f aca="false">IF(S61&lt;tablas!$C$3,"No activa",INDEX(tablas!$B$3:$B$8,MATCH(S61,tablas!$C$3:$C$8,1)))</f>
        <v>No activa</v>
      </c>
      <c r="U61" s="15" t="n">
        <f aca="false">IF(S61&lt;tablas!$C$3,0,INDEX(tablas!$D$3:$D$8,MATCH(S61,tablas!$C$3:$C$8,1)))</f>
        <v>0</v>
      </c>
      <c r="V61" s="16" t="n">
        <f aca="false">N(base!AQ61)</f>
        <v>1200</v>
      </c>
      <c r="W61" s="7" t="n">
        <f aca="false">U61*V61</f>
        <v>0</v>
      </c>
      <c r="X61" s="4" t="str">
        <f aca="false">IF(R61&lt;tablas!$C$3,"No activa",INDEX(tablas!$B$3:$B$8,MATCH(R61,tablas!$C$3:$C$8,1)))</f>
        <v>No activa</v>
      </c>
      <c r="Y61" s="7" t="n">
        <f aca="false">IF(R61&lt;tablas!$C$3,0,INDEX(tablas!$D$3:$D$8,MATCH(R61,tablas!$C$3:$C$8,1)))*V61</f>
        <v>0</v>
      </c>
      <c r="Z61" s="4" t="str">
        <f aca="false">IF(S61&gt;=tablas!$C$3,"Activa",IF(S61&gt;=Parametros!$B$5,"Cerca","No activa"))</f>
        <v>No activa</v>
      </c>
      <c r="AA61" s="6" t="n">
        <f aca="false">MAX(0,tablas!$C$3-S61)</f>
        <v>0.65</v>
      </c>
    </row>
    <row r="62" customFormat="false" ht="15" hidden="false" customHeight="false" outlineLevel="0" collapsed="false">
      <c r="A62" s="14" t="str">
        <f aca="false">base!A62</f>
        <v>74690176-9</v>
      </c>
      <c r="B62" s="14" t="str">
        <f aca="false">base!E62</f>
        <v>Inbound Regular</v>
      </c>
      <c r="C62" s="14" t="str">
        <f aca="false">base!D62</f>
        <v>Inbound</v>
      </c>
      <c r="D62" s="14" t="str">
        <f aca="false">base!F62</f>
        <v>WILIAM GOMEZ NICOLAS</v>
      </c>
      <c r="E62" s="14" t="str">
        <f aca="false">base!G62</f>
        <v>YEISON ROJAS INGOL</v>
      </c>
      <c r="F62" s="14" t="n">
        <f aca="false">N(base!O62)</f>
        <v>1</v>
      </c>
      <c r="G62" s="4" t="n">
        <f aca="false">SUM(base!U62:AF62)+N(base!AK62)</f>
        <v>0</v>
      </c>
      <c r="H62" s="14" t="n">
        <f aca="false">N(base!S62)</f>
        <v>8</v>
      </c>
      <c r="I62" s="6" t="n">
        <f aca="false">IFERROR(G62/H62,0)</f>
        <v>0</v>
      </c>
      <c r="J62" s="4" t="n">
        <f aca="false">SUM(base!AG62:AJ62)</f>
        <v>0</v>
      </c>
      <c r="K62" s="5" t="n">
        <f aca="false">IFERROR((base!AG62+base!AH62)/(base!K62+base!L62),0)</f>
        <v>0</v>
      </c>
      <c r="L62" s="5" t="n">
        <f aca="false">MAX(N(base!AI62),K62*N(base!M62))</f>
        <v>0</v>
      </c>
      <c r="M62" s="5" t="n">
        <f aca="false">MAX(N(base!AJ62),K62*N(base!N62))</f>
        <v>0</v>
      </c>
      <c r="N62" s="5" t="n">
        <f aca="false">base!AG62+base!AH62+L62+M62</f>
        <v>0</v>
      </c>
      <c r="O62" s="14" t="n">
        <f aca="false">N(base!T62)</f>
        <v>3</v>
      </c>
      <c r="P62" s="6" t="n">
        <f aca="false">IFERROR(J62/O62,0)</f>
        <v>0</v>
      </c>
      <c r="Q62" s="6" t="n">
        <f aca="false">IFERROR(N62/O62,0)</f>
        <v>0</v>
      </c>
      <c r="R62" s="6" t="n">
        <f aca="false">Parametros!$B$3*I62+Parametros!$B$4*P62</f>
        <v>0</v>
      </c>
      <c r="S62" s="6" t="n">
        <f aca="false">Parametros!$B$3*I62+Parametros!$B$4*Q62</f>
        <v>0</v>
      </c>
      <c r="T62" s="4" t="str">
        <f aca="false">IF(S62&lt;tablas!$C$3,"No activa",INDEX(tablas!$B$3:$B$8,MATCH(S62,tablas!$C$3:$C$8,1)))</f>
        <v>No activa</v>
      </c>
      <c r="U62" s="15" t="n">
        <f aca="false">IF(S62&lt;tablas!$C$3,0,INDEX(tablas!$D$3:$D$8,MATCH(S62,tablas!$C$3:$C$8,1)))</f>
        <v>0</v>
      </c>
      <c r="V62" s="16" t="n">
        <f aca="false">N(base!AQ62)</f>
        <v>1200</v>
      </c>
      <c r="W62" s="7" t="n">
        <f aca="false">U62*V62</f>
        <v>0</v>
      </c>
      <c r="X62" s="4" t="str">
        <f aca="false">IF(R62&lt;tablas!$C$3,"No activa",INDEX(tablas!$B$3:$B$8,MATCH(R62,tablas!$C$3:$C$8,1)))</f>
        <v>No activa</v>
      </c>
      <c r="Y62" s="7" t="n">
        <f aca="false">IF(R62&lt;tablas!$C$3,0,INDEX(tablas!$D$3:$D$8,MATCH(R62,tablas!$C$3:$C$8,1)))*V62</f>
        <v>0</v>
      </c>
      <c r="Z62" s="4" t="str">
        <f aca="false">IF(S62&gt;=tablas!$C$3,"Activa",IF(S62&gt;=Parametros!$B$5,"Cerca","No activa"))</f>
        <v>No activa</v>
      </c>
      <c r="AA62" s="6" t="n">
        <f aca="false">MAX(0,tablas!$C$3-S62)</f>
        <v>0.8</v>
      </c>
    </row>
    <row r="63" customFormat="false" ht="15" hidden="false" customHeight="false" outlineLevel="0" collapsed="false">
      <c r="A63" s="14" t="str">
        <f aca="false">base!A63</f>
        <v>76482026-1</v>
      </c>
      <c r="B63" s="14" t="str">
        <f aca="false">base!E63</f>
        <v>Outbound Regular</v>
      </c>
      <c r="C63" s="14" t="str">
        <f aca="false">base!D63</f>
        <v>Outbound</v>
      </c>
      <c r="D63" s="14" t="str">
        <f aca="false">base!F63</f>
        <v>YLBER BAYONA COSTILLA</v>
      </c>
      <c r="E63" s="14" t="str">
        <f aca="false">base!G63</f>
        <v>ROMULO CHAVEZ ACOSTA</v>
      </c>
      <c r="F63" s="14" t="n">
        <f aca="false">N(base!O63)</f>
        <v>1</v>
      </c>
      <c r="G63" s="4" t="n">
        <f aca="false">SUM(base!U63:AF63)+N(base!AK63)</f>
        <v>0</v>
      </c>
      <c r="H63" s="14" t="n">
        <f aca="false">N(base!S63)</f>
        <v>4</v>
      </c>
      <c r="I63" s="6" t="n">
        <f aca="false">IFERROR(G63/H63,0)</f>
        <v>0</v>
      </c>
      <c r="J63" s="4" t="n">
        <f aca="false">SUM(base!AG63:AJ63)</f>
        <v>1</v>
      </c>
      <c r="K63" s="5" t="n">
        <f aca="false">IFERROR((base!AG63+base!AH63)/(base!K63+base!L63),0)</f>
        <v>0.5</v>
      </c>
      <c r="L63" s="5" t="n">
        <f aca="false">MAX(N(base!AI63),K63*N(base!M63))</f>
        <v>0.5</v>
      </c>
      <c r="M63" s="5" t="n">
        <f aca="false">MAX(N(base!AJ63),K63*N(base!N63))</f>
        <v>0.5</v>
      </c>
      <c r="N63" s="5" t="n">
        <f aca="false">base!AG63+base!AH63+L63+M63</f>
        <v>2</v>
      </c>
      <c r="O63" s="14" t="n">
        <f aca="false">N(base!T63)</f>
        <v>2</v>
      </c>
      <c r="P63" s="6" t="n">
        <f aca="false">IFERROR(J63/O63,0)</f>
        <v>0.5</v>
      </c>
      <c r="Q63" s="6" t="n">
        <f aca="false">IFERROR(N63/O63,0)</f>
        <v>1</v>
      </c>
      <c r="R63" s="6" t="n">
        <f aca="false">Parametros!$B$3*I63+Parametros!$B$4*P63</f>
        <v>0.15</v>
      </c>
      <c r="S63" s="6" t="n">
        <f aca="false">Parametros!$B$3*I63+Parametros!$B$4*Q63</f>
        <v>0.3</v>
      </c>
      <c r="T63" s="4" t="str">
        <f aca="false">IF(S63&lt;tablas!$C$3,"No activa",INDEX(tablas!$B$3:$B$8,MATCH(S63,tablas!$C$3:$C$8,1)))</f>
        <v>No activa</v>
      </c>
      <c r="U63" s="15" t="n">
        <f aca="false">IF(S63&lt;tablas!$C$3,0,INDEX(tablas!$D$3:$D$8,MATCH(S63,tablas!$C$3:$C$8,1)))</f>
        <v>0</v>
      </c>
      <c r="V63" s="16" t="n">
        <f aca="false">N(base!AQ63)</f>
        <v>1200</v>
      </c>
      <c r="W63" s="7" t="n">
        <f aca="false">U63*V63</f>
        <v>0</v>
      </c>
      <c r="X63" s="4" t="str">
        <f aca="false">IF(R63&lt;tablas!$C$3,"No activa",INDEX(tablas!$B$3:$B$8,MATCH(R63,tablas!$C$3:$C$8,1)))</f>
        <v>No activa</v>
      </c>
      <c r="Y63" s="7" t="n">
        <f aca="false">IF(R63&lt;tablas!$C$3,0,INDEX(tablas!$D$3:$D$8,MATCH(R63,tablas!$C$3:$C$8,1)))*V63</f>
        <v>0</v>
      </c>
      <c r="Z63" s="4" t="str">
        <f aca="false">IF(S63&gt;=tablas!$C$3,"Activa",IF(S63&gt;=Parametros!$B$5,"Cerca","No activa"))</f>
        <v>No activa</v>
      </c>
      <c r="AA63" s="6" t="n">
        <f aca="false">MAX(0,tablas!$C$3-S63)</f>
        <v>0.5</v>
      </c>
    </row>
    <row r="64" customFormat="false" ht="15" hidden="false" customHeight="false" outlineLevel="0" collapsed="false">
      <c r="A64" s="14" t="str">
        <f aca="false">base!A64</f>
        <v>76352177-5</v>
      </c>
      <c r="B64" s="14" t="str">
        <f aca="false">base!E64</f>
        <v>Outbound Regular</v>
      </c>
      <c r="C64" s="14" t="str">
        <f aca="false">base!D64</f>
        <v>Outbound</v>
      </c>
      <c r="D64" s="14" t="str">
        <f aca="false">base!F64</f>
        <v>YLBER BAYONA COSTILLA</v>
      </c>
      <c r="E64" s="14" t="str">
        <f aca="false">base!G64</f>
        <v>ROMULO CHAVEZ ACOSTA</v>
      </c>
      <c r="F64" s="14" t="n">
        <f aca="false">N(base!O64)</f>
        <v>1</v>
      </c>
      <c r="G64" s="4" t="n">
        <f aca="false">SUM(base!U64:AF64)+N(base!AK64)</f>
        <v>7</v>
      </c>
      <c r="H64" s="14" t="n">
        <f aca="false">N(base!S64)</f>
        <v>4</v>
      </c>
      <c r="I64" s="6" t="n">
        <f aca="false">IFERROR(G64/H64,0)</f>
        <v>1.75</v>
      </c>
      <c r="J64" s="4" t="n">
        <f aca="false">SUM(base!AG64:AJ64)</f>
        <v>1</v>
      </c>
      <c r="K64" s="5" t="n">
        <f aca="false">IFERROR((base!AG64+base!AH64)/(base!K64+base!L64),0)</f>
        <v>0.5</v>
      </c>
      <c r="L64" s="5" t="n">
        <f aca="false">MAX(N(base!AI64),K64*N(base!M64))</f>
        <v>0.5</v>
      </c>
      <c r="M64" s="5" t="n">
        <f aca="false">MAX(N(base!AJ64),K64*N(base!N64))</f>
        <v>0.5</v>
      </c>
      <c r="N64" s="5" t="n">
        <f aca="false">base!AG64+base!AH64+L64+M64</f>
        <v>2</v>
      </c>
      <c r="O64" s="14" t="n">
        <f aca="false">N(base!T64)</f>
        <v>2</v>
      </c>
      <c r="P64" s="6" t="n">
        <f aca="false">IFERROR(J64/O64,0)</f>
        <v>0.5</v>
      </c>
      <c r="Q64" s="6" t="n">
        <f aca="false">IFERROR(N64/O64,0)</f>
        <v>1</v>
      </c>
      <c r="R64" s="6" t="n">
        <f aca="false">Parametros!$B$3*I64+Parametros!$B$4*P64</f>
        <v>1.375</v>
      </c>
      <c r="S64" s="6" t="n">
        <f aca="false">Parametros!$B$3*I64+Parametros!$B$4*Q64</f>
        <v>1.525</v>
      </c>
      <c r="T64" s="4" t="str">
        <f aca="false">IF(S64&lt;tablas!$C$3,"No activa",INDEX(tablas!$B$3:$B$8,MATCH(S64,tablas!$C$3:$C$8,1)))</f>
        <v>N6</v>
      </c>
      <c r="U64" s="15" t="n">
        <f aca="false">IF(S64&lt;tablas!$C$3,0,INDEX(tablas!$D$3:$D$8,MATCH(S64,tablas!$C$3:$C$8,1)))</f>
        <v>2</v>
      </c>
      <c r="V64" s="16" t="n">
        <f aca="false">N(base!AQ64)</f>
        <v>1200</v>
      </c>
      <c r="W64" s="7" t="n">
        <f aca="false">U64*V64</f>
        <v>2400</v>
      </c>
      <c r="X64" s="4" t="str">
        <f aca="false">IF(R64&lt;tablas!$C$3,"No activa",INDEX(tablas!$B$3:$B$8,MATCH(R64,tablas!$C$3:$C$8,1)))</f>
        <v>N6</v>
      </c>
      <c r="Y64" s="7" t="n">
        <f aca="false">IF(R64&lt;tablas!$C$3,0,INDEX(tablas!$D$3:$D$8,MATCH(R64,tablas!$C$3:$C$8,1)))*V64</f>
        <v>2400</v>
      </c>
      <c r="Z64" s="4" t="str">
        <f aca="false">IF(S64&gt;=tablas!$C$3,"Activa",IF(S64&gt;=Parametros!$B$5,"Cerca","No activa"))</f>
        <v>Activa</v>
      </c>
      <c r="AA64" s="6" t="n">
        <f aca="false">MAX(0,tablas!$C$3-S64)</f>
        <v>0</v>
      </c>
    </row>
    <row r="65" customFormat="false" ht="15" hidden="false" customHeight="false" outlineLevel="0" collapsed="false">
      <c r="A65" s="14" t="str">
        <f aca="false">base!A65</f>
        <v>74898894-2</v>
      </c>
      <c r="B65" s="14" t="str">
        <f aca="false">base!E65</f>
        <v>Outbound Regular</v>
      </c>
      <c r="C65" s="14" t="str">
        <f aca="false">base!D65</f>
        <v>Outbound</v>
      </c>
      <c r="D65" s="14" t="str">
        <f aca="false">base!F65</f>
        <v>YLBER BAYONA COSTILLA</v>
      </c>
      <c r="E65" s="14" t="str">
        <f aca="false">base!G65</f>
        <v>ROMULO CHAVEZ ACOSTA</v>
      </c>
      <c r="F65" s="14" t="n">
        <f aca="false">N(base!O65)</f>
        <v>1</v>
      </c>
      <c r="G65" s="4" t="n">
        <f aca="false">SUM(base!U65:AF65)+N(base!AK65)</f>
        <v>0</v>
      </c>
      <c r="H65" s="14" t="n">
        <f aca="false">N(base!S65)</f>
        <v>4</v>
      </c>
      <c r="I65" s="6" t="n">
        <f aca="false">IFERROR(G65/H65,0)</f>
        <v>0</v>
      </c>
      <c r="J65" s="4" t="n">
        <f aca="false">SUM(base!AG65:AJ65)</f>
        <v>1</v>
      </c>
      <c r="K65" s="5" t="n">
        <f aca="false">IFERROR((base!AG65+base!AH65)/(base!K65+base!L65),0)</f>
        <v>0.5</v>
      </c>
      <c r="L65" s="5" t="n">
        <f aca="false">MAX(N(base!AI65),K65*N(base!M65))</f>
        <v>0.5</v>
      </c>
      <c r="M65" s="5" t="n">
        <f aca="false">MAX(N(base!AJ65),K65*N(base!N65))</f>
        <v>0.5</v>
      </c>
      <c r="N65" s="5" t="n">
        <f aca="false">base!AG65+base!AH65+L65+M65</f>
        <v>2</v>
      </c>
      <c r="O65" s="14" t="n">
        <f aca="false">N(base!T65)</f>
        <v>2</v>
      </c>
      <c r="P65" s="6" t="n">
        <f aca="false">IFERROR(J65/O65,0)</f>
        <v>0.5</v>
      </c>
      <c r="Q65" s="6" t="n">
        <f aca="false">IFERROR(N65/O65,0)</f>
        <v>1</v>
      </c>
      <c r="R65" s="6" t="n">
        <f aca="false">Parametros!$B$3*I65+Parametros!$B$4*P65</f>
        <v>0.15</v>
      </c>
      <c r="S65" s="6" t="n">
        <f aca="false">Parametros!$B$3*I65+Parametros!$B$4*Q65</f>
        <v>0.3</v>
      </c>
      <c r="T65" s="4" t="str">
        <f aca="false">IF(S65&lt;tablas!$C$3,"No activa",INDEX(tablas!$B$3:$B$8,MATCH(S65,tablas!$C$3:$C$8,1)))</f>
        <v>No activa</v>
      </c>
      <c r="U65" s="15" t="n">
        <f aca="false">IF(S65&lt;tablas!$C$3,0,INDEX(tablas!$D$3:$D$8,MATCH(S65,tablas!$C$3:$C$8,1)))</f>
        <v>0</v>
      </c>
      <c r="V65" s="16" t="n">
        <f aca="false">N(base!AQ65)</f>
        <v>1200</v>
      </c>
      <c r="W65" s="7" t="n">
        <f aca="false">U65*V65</f>
        <v>0</v>
      </c>
      <c r="X65" s="4" t="str">
        <f aca="false">IF(R65&lt;tablas!$C$3,"No activa",INDEX(tablas!$B$3:$B$8,MATCH(R65,tablas!$C$3:$C$8,1)))</f>
        <v>No activa</v>
      </c>
      <c r="Y65" s="7" t="n">
        <f aca="false">IF(R65&lt;tablas!$C$3,0,INDEX(tablas!$D$3:$D$8,MATCH(R65,tablas!$C$3:$C$8,1)))*V65</f>
        <v>0</v>
      </c>
      <c r="Z65" s="4" t="str">
        <f aca="false">IF(S65&gt;=tablas!$C$3,"Activa",IF(S65&gt;=Parametros!$B$5,"Cerca","No activa"))</f>
        <v>No activa</v>
      </c>
      <c r="AA65" s="6" t="n">
        <f aca="false">MAX(0,tablas!$C$3-S65)</f>
        <v>0.5</v>
      </c>
    </row>
    <row r="66" customFormat="false" ht="15" hidden="false" customHeight="false" outlineLevel="0" collapsed="false">
      <c r="A66" s="14" t="str">
        <f aca="false">base!A66</f>
        <v>70644486-1</v>
      </c>
      <c r="B66" s="14" t="str">
        <f aca="false">base!E66</f>
        <v>Outbound Regular</v>
      </c>
      <c r="C66" s="14" t="str">
        <f aca="false">base!D66</f>
        <v>Outbound</v>
      </c>
      <c r="D66" s="14" t="str">
        <f aca="false">base!F66</f>
        <v>YLBER BAYONA COSTILLA</v>
      </c>
      <c r="E66" s="14" t="str">
        <f aca="false">base!G66</f>
        <v>ROMULO CHAVEZ ACOSTA</v>
      </c>
      <c r="F66" s="14" t="n">
        <f aca="false">N(base!O66)</f>
        <v>1</v>
      </c>
      <c r="G66" s="4" t="n">
        <f aca="false">SUM(base!U66:AF66)+N(base!AK66)</f>
        <v>4</v>
      </c>
      <c r="H66" s="14" t="n">
        <f aca="false">N(base!S66)</f>
        <v>4</v>
      </c>
      <c r="I66" s="6" t="n">
        <f aca="false">IFERROR(G66/H66,0)</f>
        <v>1</v>
      </c>
      <c r="J66" s="4" t="n">
        <f aca="false">SUM(base!AG66:AJ66)</f>
        <v>1</v>
      </c>
      <c r="K66" s="5" t="n">
        <f aca="false">IFERROR((base!AG66+base!AH66)/(base!K66+base!L66),0)</f>
        <v>0</v>
      </c>
      <c r="L66" s="5" t="n">
        <f aca="false">MAX(N(base!AI66),K66*N(base!M66))</f>
        <v>1</v>
      </c>
      <c r="M66" s="5" t="n">
        <f aca="false">MAX(N(base!AJ66),K66*N(base!N66))</f>
        <v>0</v>
      </c>
      <c r="N66" s="5" t="n">
        <f aca="false">base!AG66+base!AH66+L66+M66</f>
        <v>1</v>
      </c>
      <c r="O66" s="14" t="n">
        <f aca="false">N(base!T66)</f>
        <v>2</v>
      </c>
      <c r="P66" s="6" t="n">
        <f aca="false">IFERROR(J66/O66,0)</f>
        <v>0.5</v>
      </c>
      <c r="Q66" s="6" t="n">
        <f aca="false">IFERROR(N66/O66,0)</f>
        <v>0.5</v>
      </c>
      <c r="R66" s="6" t="n">
        <f aca="false">Parametros!$B$3*I66+Parametros!$B$4*P66</f>
        <v>0.85</v>
      </c>
      <c r="S66" s="6" t="n">
        <f aca="false">Parametros!$B$3*I66+Parametros!$B$4*Q66</f>
        <v>0.85</v>
      </c>
      <c r="T66" s="4" t="str">
        <f aca="false">IF(S66&lt;tablas!$C$3,"No activa",INDEX(tablas!$B$3:$B$8,MATCH(S66,tablas!$C$3:$C$8,1)))</f>
        <v>N1</v>
      </c>
      <c r="U66" s="15" t="n">
        <f aca="false">IF(S66&lt;tablas!$C$3,0,INDEX(tablas!$D$3:$D$8,MATCH(S66,tablas!$C$3:$C$8,1)))</f>
        <v>0.3</v>
      </c>
      <c r="V66" s="16" t="n">
        <f aca="false">N(base!AQ66)</f>
        <v>1200</v>
      </c>
      <c r="W66" s="7" t="n">
        <f aca="false">U66*V66</f>
        <v>360</v>
      </c>
      <c r="X66" s="4" t="str">
        <f aca="false">IF(R66&lt;tablas!$C$3,"No activa",INDEX(tablas!$B$3:$B$8,MATCH(R66,tablas!$C$3:$C$8,1)))</f>
        <v>N1</v>
      </c>
      <c r="Y66" s="7" t="n">
        <f aca="false">IF(R66&lt;tablas!$C$3,0,INDEX(tablas!$D$3:$D$8,MATCH(R66,tablas!$C$3:$C$8,1)))*V66</f>
        <v>360</v>
      </c>
      <c r="Z66" s="4" t="str">
        <f aca="false">IF(S66&gt;=tablas!$C$3,"Activa",IF(S66&gt;=Parametros!$B$5,"Cerca","No activa"))</f>
        <v>Activa</v>
      </c>
      <c r="AA66" s="6" t="n">
        <f aca="false">MAX(0,tablas!$C$3-S66)</f>
        <v>0</v>
      </c>
    </row>
    <row r="67" customFormat="false" ht="15" hidden="false" customHeight="false" outlineLevel="0" collapsed="false">
      <c r="A67" s="14" t="str">
        <f aca="false">base!A67</f>
        <v>72867250-7</v>
      </c>
      <c r="B67" s="14" t="str">
        <f aca="false">base!E67</f>
        <v>Ate</v>
      </c>
      <c r="C67" s="14" t="str">
        <f aca="false">base!D67</f>
        <v>Outbound</v>
      </c>
      <c r="D67" s="14" t="str">
        <f aca="false">base!F67</f>
        <v>GERARDO OBREGON RUIZ</v>
      </c>
      <c r="E67" s="14" t="str">
        <f aca="false">base!G67</f>
        <v>JOSUE MORA SOLSOL</v>
      </c>
      <c r="F67" s="14" t="n">
        <f aca="false">N(base!O67)</f>
        <v>1</v>
      </c>
      <c r="G67" s="4" t="n">
        <f aca="false">SUM(base!U67:AF67)+N(base!AK67)</f>
        <v>0</v>
      </c>
      <c r="H67" s="14" t="n">
        <f aca="false">N(base!S67)</f>
        <v>4</v>
      </c>
      <c r="I67" s="6" t="n">
        <f aca="false">IFERROR(G67/H67,0)</f>
        <v>0</v>
      </c>
      <c r="J67" s="4" t="n">
        <f aca="false">SUM(base!AG67:AJ67)</f>
        <v>0</v>
      </c>
      <c r="K67" s="5" t="n">
        <f aca="false">IFERROR((base!AG67+base!AH67)/(base!K67+base!L67),0)</f>
        <v>0</v>
      </c>
      <c r="L67" s="5" t="n">
        <f aca="false">MAX(N(base!AI67),K67*N(base!M67))</f>
        <v>0</v>
      </c>
      <c r="M67" s="5" t="n">
        <f aca="false">MAX(N(base!AJ67),K67*N(base!N67))</f>
        <v>0</v>
      </c>
      <c r="N67" s="5" t="n">
        <f aca="false">base!AG67+base!AH67+L67+M67</f>
        <v>0</v>
      </c>
      <c r="O67" s="14" t="n">
        <f aca="false">N(base!T67)</f>
        <v>2</v>
      </c>
      <c r="P67" s="6" t="n">
        <f aca="false">IFERROR(J67/O67,0)</f>
        <v>0</v>
      </c>
      <c r="Q67" s="6" t="n">
        <f aca="false">IFERROR(N67/O67,0)</f>
        <v>0</v>
      </c>
      <c r="R67" s="6" t="n">
        <f aca="false">Parametros!$B$3*I67+Parametros!$B$4*P67</f>
        <v>0</v>
      </c>
      <c r="S67" s="6" t="n">
        <f aca="false">Parametros!$B$3*I67+Parametros!$B$4*Q67</f>
        <v>0</v>
      </c>
      <c r="T67" s="4" t="str">
        <f aca="false">IF(S67&lt;tablas!$C$3,"No activa",INDEX(tablas!$B$3:$B$8,MATCH(S67,tablas!$C$3:$C$8,1)))</f>
        <v>No activa</v>
      </c>
      <c r="U67" s="15" t="n">
        <f aca="false">IF(S67&lt;tablas!$C$3,0,INDEX(tablas!$D$3:$D$8,MATCH(S67,tablas!$C$3:$C$8,1)))</f>
        <v>0</v>
      </c>
      <c r="V67" s="16" t="n">
        <f aca="false">N(base!AQ67)</f>
        <v>1200</v>
      </c>
      <c r="W67" s="7" t="n">
        <f aca="false">U67*V67</f>
        <v>0</v>
      </c>
      <c r="X67" s="4" t="str">
        <f aca="false">IF(R67&lt;tablas!$C$3,"No activa",INDEX(tablas!$B$3:$B$8,MATCH(R67,tablas!$C$3:$C$8,1)))</f>
        <v>No activa</v>
      </c>
      <c r="Y67" s="7" t="n">
        <f aca="false">IF(R67&lt;tablas!$C$3,0,INDEX(tablas!$D$3:$D$8,MATCH(R67,tablas!$C$3:$C$8,1)))*V67</f>
        <v>0</v>
      </c>
      <c r="Z67" s="4" t="str">
        <f aca="false">IF(S67&gt;=tablas!$C$3,"Activa",IF(S67&gt;=Parametros!$B$5,"Cerca","No activa"))</f>
        <v>No activa</v>
      </c>
      <c r="AA67" s="6" t="n">
        <f aca="false">MAX(0,tablas!$C$3-S67)</f>
        <v>0.8</v>
      </c>
    </row>
    <row r="68" customFormat="false" ht="15" hidden="false" customHeight="false" outlineLevel="0" collapsed="false">
      <c r="A68" s="14" t="str">
        <f aca="false">base!A68</f>
        <v>60828027-3</v>
      </c>
      <c r="B68" s="14" t="str">
        <f aca="false">base!E68</f>
        <v>Ate</v>
      </c>
      <c r="C68" s="14" t="str">
        <f aca="false">base!D68</f>
        <v>Outbound</v>
      </c>
      <c r="D68" s="14" t="str">
        <f aca="false">base!F68</f>
        <v>GERARDO OBREGON RUIZ</v>
      </c>
      <c r="E68" s="14" t="str">
        <f aca="false">base!G68</f>
        <v>JOSUE MORA SOLSOL</v>
      </c>
      <c r="F68" s="14" t="n">
        <f aca="false">N(base!O68)</f>
        <v>1</v>
      </c>
      <c r="G68" s="4" t="n">
        <f aca="false">SUM(base!U68:AF68)+N(base!AK68)</f>
        <v>9</v>
      </c>
      <c r="H68" s="14" t="n">
        <f aca="false">N(base!S68)</f>
        <v>4</v>
      </c>
      <c r="I68" s="6" t="n">
        <f aca="false">IFERROR(G68/H68,0)</f>
        <v>2.25</v>
      </c>
      <c r="J68" s="4" t="n">
        <f aca="false">SUM(base!AG68:AJ68)</f>
        <v>0</v>
      </c>
      <c r="K68" s="5" t="n">
        <f aca="false">IFERROR((base!AG68+base!AH68)/(base!K68+base!L68),0)</f>
        <v>0</v>
      </c>
      <c r="L68" s="5" t="n">
        <f aca="false">MAX(N(base!AI68),K68*N(base!M68))</f>
        <v>0</v>
      </c>
      <c r="M68" s="5" t="n">
        <f aca="false">MAX(N(base!AJ68),K68*N(base!N68))</f>
        <v>0</v>
      </c>
      <c r="N68" s="5" t="n">
        <f aca="false">base!AG68+base!AH68+L68+M68</f>
        <v>0</v>
      </c>
      <c r="O68" s="14" t="n">
        <f aca="false">N(base!T68)</f>
        <v>3</v>
      </c>
      <c r="P68" s="6" t="n">
        <f aca="false">IFERROR(J68/O68,0)</f>
        <v>0</v>
      </c>
      <c r="Q68" s="6" t="n">
        <f aca="false">IFERROR(N68/O68,0)</f>
        <v>0</v>
      </c>
      <c r="R68" s="6" t="n">
        <f aca="false">Parametros!$B$3*I68+Parametros!$B$4*P68</f>
        <v>1.575</v>
      </c>
      <c r="S68" s="6" t="n">
        <f aca="false">Parametros!$B$3*I68+Parametros!$B$4*Q68</f>
        <v>1.575</v>
      </c>
      <c r="T68" s="4" t="str">
        <f aca="false">IF(S68&lt;tablas!$C$3,"No activa",INDEX(tablas!$B$3:$B$8,MATCH(S68,tablas!$C$3:$C$8,1)))</f>
        <v>N6</v>
      </c>
      <c r="U68" s="15" t="n">
        <f aca="false">IF(S68&lt;tablas!$C$3,0,INDEX(tablas!$D$3:$D$8,MATCH(S68,tablas!$C$3:$C$8,1)))</f>
        <v>2</v>
      </c>
      <c r="V68" s="16" t="n">
        <f aca="false">N(base!AQ68)</f>
        <v>1200</v>
      </c>
      <c r="W68" s="7" t="n">
        <f aca="false">U68*V68</f>
        <v>2400</v>
      </c>
      <c r="X68" s="4" t="str">
        <f aca="false">IF(R68&lt;tablas!$C$3,"No activa",INDEX(tablas!$B$3:$B$8,MATCH(R68,tablas!$C$3:$C$8,1)))</f>
        <v>N6</v>
      </c>
      <c r="Y68" s="7" t="n">
        <f aca="false">IF(R68&lt;tablas!$C$3,0,INDEX(tablas!$D$3:$D$8,MATCH(R68,tablas!$C$3:$C$8,1)))*V68</f>
        <v>2400</v>
      </c>
      <c r="Z68" s="4" t="str">
        <f aca="false">IF(S68&gt;=tablas!$C$3,"Activa",IF(S68&gt;=Parametros!$B$5,"Cerca","No activa"))</f>
        <v>Activa</v>
      </c>
      <c r="AA68" s="6" t="n">
        <f aca="false">MAX(0,tablas!$C$3-S68)</f>
        <v>0</v>
      </c>
    </row>
    <row r="69" customFormat="false" ht="15" hidden="false" customHeight="false" outlineLevel="0" collapsed="false">
      <c r="A69" s="14" t="str">
        <f aca="false">base!A69</f>
        <v>73604946-1</v>
      </c>
      <c r="B69" s="14" t="str">
        <f aca="false">base!E69</f>
        <v>Outbound Regular</v>
      </c>
      <c r="C69" s="14" t="str">
        <f aca="false">base!D69</f>
        <v>Outbound</v>
      </c>
      <c r="D69" s="14" t="str">
        <f aca="false">base!F69</f>
        <v>GRETA VARGAS ESCOBEDO</v>
      </c>
      <c r="E69" s="14" t="str">
        <f aca="false">base!G69</f>
        <v>ROMULO CHAVEZ ACOSTA</v>
      </c>
      <c r="F69" s="14" t="n">
        <f aca="false">N(base!O69)</f>
        <v>1</v>
      </c>
      <c r="G69" s="4" t="n">
        <f aca="false">SUM(base!U69:AF69)+N(base!AK69)</f>
        <v>0</v>
      </c>
      <c r="H69" s="14" t="n">
        <f aca="false">N(base!S69)</f>
        <v>4</v>
      </c>
      <c r="I69" s="6" t="n">
        <f aca="false">IFERROR(G69/H69,0)</f>
        <v>0</v>
      </c>
      <c r="J69" s="4" t="n">
        <f aca="false">SUM(base!AG69:AJ69)</f>
        <v>0</v>
      </c>
      <c r="K69" s="5" t="n">
        <f aca="false">IFERROR((base!AG69+base!AH69)/(base!K69+base!L69),0)</f>
        <v>0</v>
      </c>
      <c r="L69" s="5" t="n">
        <f aca="false">MAX(N(base!AI69),K69*N(base!M69))</f>
        <v>0</v>
      </c>
      <c r="M69" s="5" t="n">
        <f aca="false">MAX(N(base!AJ69),K69*N(base!N69))</f>
        <v>0</v>
      </c>
      <c r="N69" s="5" t="n">
        <f aca="false">base!AG69+base!AH69+L69+M69</f>
        <v>0</v>
      </c>
      <c r="O69" s="14" t="n">
        <f aca="false">N(base!T69)</f>
        <v>2</v>
      </c>
      <c r="P69" s="6" t="n">
        <f aca="false">IFERROR(J69/O69,0)</f>
        <v>0</v>
      </c>
      <c r="Q69" s="6" t="n">
        <f aca="false">IFERROR(N69/O69,0)</f>
        <v>0</v>
      </c>
      <c r="R69" s="6" t="n">
        <f aca="false">Parametros!$B$3*I69+Parametros!$B$4*P69</f>
        <v>0</v>
      </c>
      <c r="S69" s="6" t="n">
        <f aca="false">Parametros!$B$3*I69+Parametros!$B$4*Q69</f>
        <v>0</v>
      </c>
      <c r="T69" s="4" t="str">
        <f aca="false">IF(S69&lt;tablas!$C$3,"No activa",INDEX(tablas!$B$3:$B$8,MATCH(S69,tablas!$C$3:$C$8,1)))</f>
        <v>No activa</v>
      </c>
      <c r="U69" s="15" t="n">
        <f aca="false">IF(S69&lt;tablas!$C$3,0,INDEX(tablas!$D$3:$D$8,MATCH(S69,tablas!$C$3:$C$8,1)))</f>
        <v>0</v>
      </c>
      <c r="V69" s="16" t="n">
        <f aca="false">N(base!AQ69)</f>
        <v>1200</v>
      </c>
      <c r="W69" s="7" t="n">
        <f aca="false">U69*V69</f>
        <v>0</v>
      </c>
      <c r="X69" s="4" t="str">
        <f aca="false">IF(R69&lt;tablas!$C$3,"No activa",INDEX(tablas!$B$3:$B$8,MATCH(R69,tablas!$C$3:$C$8,1)))</f>
        <v>No activa</v>
      </c>
      <c r="Y69" s="7" t="n">
        <f aca="false">IF(R69&lt;tablas!$C$3,0,INDEX(tablas!$D$3:$D$8,MATCH(R69,tablas!$C$3:$C$8,1)))*V69</f>
        <v>0</v>
      </c>
      <c r="Z69" s="4" t="str">
        <f aca="false">IF(S69&gt;=tablas!$C$3,"Activa",IF(S69&gt;=Parametros!$B$5,"Cerca","No activa"))</f>
        <v>No activa</v>
      </c>
      <c r="AA69" s="6" t="n">
        <f aca="false">MAX(0,tablas!$C$3-S69)</f>
        <v>0.8</v>
      </c>
    </row>
    <row r="70" customFormat="false" ht="15" hidden="false" customHeight="false" outlineLevel="0" collapsed="false">
      <c r="A70" s="14" t="str">
        <f aca="false">base!A70</f>
        <v>46674049-2</v>
      </c>
      <c r="B70" s="14" t="str">
        <f aca="false">base!E70</f>
        <v>ReiNew</v>
      </c>
      <c r="C70" s="14" t="str">
        <f aca="false">base!D70</f>
        <v>Especializado</v>
      </c>
      <c r="D70" s="14" t="str">
        <f aca="false">base!F70</f>
        <v>FRANCIS SANCHEZ CAMPOS</v>
      </c>
      <c r="E70" s="14" t="str">
        <f aca="false">base!G70</f>
        <v>SINDY ZAMBRANO SOTERO</v>
      </c>
      <c r="F70" s="14" t="n">
        <f aca="false">N(base!O70)</f>
        <v>0.75</v>
      </c>
      <c r="G70" s="4" t="n">
        <f aca="false">SUM(base!U70:AF70)+N(base!AK70)</f>
        <v>3</v>
      </c>
      <c r="H70" s="14" t="n">
        <f aca="false">N(base!S70)</f>
        <v>17</v>
      </c>
      <c r="I70" s="6" t="n">
        <f aca="false">IFERROR(G70/H70,0)</f>
        <v>0.176470588235294</v>
      </c>
      <c r="J70" s="4" t="n">
        <f aca="false">SUM(base!AG70:AJ70)</f>
        <v>0</v>
      </c>
      <c r="K70" s="5" t="n">
        <f aca="false">IFERROR((base!AG70+base!AH70)/(base!K70+base!L70),0)</f>
        <v>0</v>
      </c>
      <c r="L70" s="5" t="n">
        <f aca="false">MAX(N(base!AI70),K70*N(base!M70))</f>
        <v>0</v>
      </c>
      <c r="M70" s="5" t="n">
        <f aca="false">MAX(N(base!AJ70),K70*N(base!N70))</f>
        <v>0</v>
      </c>
      <c r="N70" s="5" t="n">
        <f aca="false">base!AG70+base!AH70+L70+M70</f>
        <v>0</v>
      </c>
      <c r="O70" s="14" t="n">
        <f aca="false">N(base!T70)</f>
        <v>8</v>
      </c>
      <c r="P70" s="6" t="n">
        <f aca="false">IFERROR(J70/O70,0)</f>
        <v>0</v>
      </c>
      <c r="Q70" s="6" t="n">
        <f aca="false">IFERROR(N70/O70,0)</f>
        <v>0</v>
      </c>
      <c r="R70" s="6" t="n">
        <f aca="false">Parametros!$B$3*I70+Parametros!$B$4*P70</f>
        <v>0.123529411764706</v>
      </c>
      <c r="S70" s="6" t="n">
        <f aca="false">Parametros!$B$3*I70+Parametros!$B$4*Q70</f>
        <v>0.123529411764706</v>
      </c>
      <c r="T70" s="4" t="str">
        <f aca="false">IF(S70&lt;tablas!$C$3,"No activa",INDEX(tablas!$B$3:$B$8,MATCH(S70,tablas!$C$3:$C$8,1)))</f>
        <v>No activa</v>
      </c>
      <c r="U70" s="15" t="n">
        <f aca="false">IF(S70&lt;tablas!$C$3,0,INDEX(tablas!$D$3:$D$8,MATCH(S70,tablas!$C$3:$C$8,1)))</f>
        <v>0</v>
      </c>
      <c r="V70" s="16" t="n">
        <f aca="false">N(base!AQ70)</f>
        <v>900</v>
      </c>
      <c r="W70" s="7" t="n">
        <f aca="false">U70*V70</f>
        <v>0</v>
      </c>
      <c r="X70" s="4" t="str">
        <f aca="false">IF(R70&lt;tablas!$C$3,"No activa",INDEX(tablas!$B$3:$B$8,MATCH(R70,tablas!$C$3:$C$8,1)))</f>
        <v>No activa</v>
      </c>
      <c r="Y70" s="7" t="n">
        <f aca="false">IF(R70&lt;tablas!$C$3,0,INDEX(tablas!$D$3:$D$8,MATCH(R70,tablas!$C$3:$C$8,1)))*V70</f>
        <v>0</v>
      </c>
      <c r="Z70" s="4" t="str">
        <f aca="false">IF(S70&gt;=tablas!$C$3,"Activa",IF(S70&gt;=Parametros!$B$5,"Cerca","No activa"))</f>
        <v>No activa</v>
      </c>
      <c r="AA70" s="6" t="n">
        <f aca="false">MAX(0,tablas!$C$3-S70)</f>
        <v>0.676470588235294</v>
      </c>
    </row>
    <row r="71" customFormat="false" ht="15" hidden="false" customHeight="false" outlineLevel="0" collapsed="false">
      <c r="A71" s="14" t="str">
        <f aca="false">base!A71</f>
        <v>70886611-9</v>
      </c>
      <c r="B71" s="14" t="str">
        <f aca="false">base!E71</f>
        <v>ReiNew</v>
      </c>
      <c r="C71" s="14" t="str">
        <f aca="false">base!D71</f>
        <v>Especializado</v>
      </c>
      <c r="D71" s="14" t="str">
        <f aca="false">base!F71</f>
        <v>FRANCIS SANCHEZ CAMPOS</v>
      </c>
      <c r="E71" s="14" t="str">
        <f aca="false">base!G71</f>
        <v>SINDY ZAMBRANO SOTERO</v>
      </c>
      <c r="F71" s="14" t="n">
        <f aca="false">N(base!O71)</f>
        <v>1</v>
      </c>
      <c r="G71" s="4" t="n">
        <f aca="false">SUM(base!U71:AF71)+N(base!AK71)</f>
        <v>3</v>
      </c>
      <c r="H71" s="14" t="n">
        <f aca="false">N(base!S71)</f>
        <v>23</v>
      </c>
      <c r="I71" s="6" t="n">
        <f aca="false">IFERROR(G71/H71,0)</f>
        <v>0.130434782608696</v>
      </c>
      <c r="J71" s="4" t="n">
        <f aca="false">SUM(base!AG71:AJ71)</f>
        <v>0</v>
      </c>
      <c r="K71" s="5" t="n">
        <f aca="false">IFERROR((base!AG71+base!AH71)/(base!K71+base!L71),0)</f>
        <v>0</v>
      </c>
      <c r="L71" s="5" t="n">
        <f aca="false">MAX(N(base!AI71),K71*N(base!M71))</f>
        <v>0</v>
      </c>
      <c r="M71" s="5" t="n">
        <f aca="false">MAX(N(base!AJ71),K71*N(base!N71))</f>
        <v>0</v>
      </c>
      <c r="N71" s="5" t="n">
        <f aca="false">base!AG71+base!AH71+L71+M71</f>
        <v>0</v>
      </c>
      <c r="O71" s="14" t="n">
        <f aca="false">N(base!T71)</f>
        <v>11</v>
      </c>
      <c r="P71" s="6" t="n">
        <f aca="false">IFERROR(J71/O71,0)</f>
        <v>0</v>
      </c>
      <c r="Q71" s="6" t="n">
        <f aca="false">IFERROR(N71/O71,0)</f>
        <v>0</v>
      </c>
      <c r="R71" s="6" t="n">
        <f aca="false">Parametros!$B$3*I71+Parametros!$B$4*P71</f>
        <v>0.0913043478260869</v>
      </c>
      <c r="S71" s="6" t="n">
        <f aca="false">Parametros!$B$3*I71+Parametros!$B$4*Q71</f>
        <v>0.0913043478260869</v>
      </c>
      <c r="T71" s="4" t="str">
        <f aca="false">IF(S71&lt;tablas!$C$3,"No activa",INDEX(tablas!$B$3:$B$8,MATCH(S71,tablas!$C$3:$C$8,1)))</f>
        <v>No activa</v>
      </c>
      <c r="U71" s="15" t="n">
        <f aca="false">IF(S71&lt;tablas!$C$3,0,INDEX(tablas!$D$3:$D$8,MATCH(S71,tablas!$C$3:$C$8,1)))</f>
        <v>0</v>
      </c>
      <c r="V71" s="16" t="n">
        <f aca="false">N(base!AQ71)</f>
        <v>1200</v>
      </c>
      <c r="W71" s="7" t="n">
        <f aca="false">U71*V71</f>
        <v>0</v>
      </c>
      <c r="X71" s="4" t="str">
        <f aca="false">IF(R71&lt;tablas!$C$3,"No activa",INDEX(tablas!$B$3:$B$8,MATCH(R71,tablas!$C$3:$C$8,1)))</f>
        <v>No activa</v>
      </c>
      <c r="Y71" s="7" t="n">
        <f aca="false">IF(R71&lt;tablas!$C$3,0,INDEX(tablas!$D$3:$D$8,MATCH(R71,tablas!$C$3:$C$8,1)))*V71</f>
        <v>0</v>
      </c>
      <c r="Z71" s="4" t="str">
        <f aca="false">IF(S71&gt;=tablas!$C$3,"Activa",IF(S71&gt;=Parametros!$B$5,"Cerca","No activa"))</f>
        <v>No activa</v>
      </c>
      <c r="AA71" s="6" t="n">
        <f aca="false">MAX(0,tablas!$C$3-S71)</f>
        <v>0.708695652173913</v>
      </c>
    </row>
    <row r="72" customFormat="false" ht="15" hidden="false" customHeight="false" outlineLevel="0" collapsed="false">
      <c r="A72" s="14" t="str">
        <f aca="false">base!A72</f>
        <v>47086537-2</v>
      </c>
      <c r="B72" s="14" t="str">
        <f aca="false">base!E72</f>
        <v>ReiNew</v>
      </c>
      <c r="C72" s="14" t="str">
        <f aca="false">base!D72</f>
        <v>Especializado</v>
      </c>
      <c r="D72" s="14" t="str">
        <f aca="false">base!F72</f>
        <v>FRANCIS SANCHEZ CAMPOS</v>
      </c>
      <c r="E72" s="14" t="str">
        <f aca="false">base!G72</f>
        <v>SINDY ZAMBRANO SOTERO</v>
      </c>
      <c r="F72" s="14" t="n">
        <f aca="false">N(base!O72)</f>
        <v>0.909090909090909</v>
      </c>
      <c r="G72" s="4" t="n">
        <f aca="false">SUM(base!U72:AF72)+N(base!AK72)</f>
        <v>2</v>
      </c>
      <c r="H72" s="14" t="n">
        <f aca="false">N(base!S72)</f>
        <v>21</v>
      </c>
      <c r="I72" s="6" t="n">
        <f aca="false">IFERROR(G72/H72,0)</f>
        <v>0.0952380952380952</v>
      </c>
      <c r="J72" s="4" t="n">
        <f aca="false">SUM(base!AG72:AJ72)</f>
        <v>0</v>
      </c>
      <c r="K72" s="5" t="n">
        <f aca="false">IFERROR((base!AG72+base!AH72)/(base!K72+base!L72),0)</f>
        <v>0</v>
      </c>
      <c r="L72" s="5" t="n">
        <f aca="false">MAX(N(base!AI72),K72*N(base!M72))</f>
        <v>0</v>
      </c>
      <c r="M72" s="5" t="n">
        <f aca="false">MAX(N(base!AJ72),K72*N(base!N72))</f>
        <v>0</v>
      </c>
      <c r="N72" s="5" t="n">
        <f aca="false">base!AG72+base!AH72+L72+M72</f>
        <v>0</v>
      </c>
      <c r="O72" s="14" t="n">
        <f aca="false">N(base!T72)</f>
        <v>10</v>
      </c>
      <c r="P72" s="6" t="n">
        <f aca="false">IFERROR(J72/O72,0)</f>
        <v>0</v>
      </c>
      <c r="Q72" s="6" t="n">
        <f aca="false">IFERROR(N72/O72,0)</f>
        <v>0</v>
      </c>
      <c r="R72" s="6" t="n">
        <f aca="false">Parametros!$B$3*I72+Parametros!$B$4*P72</f>
        <v>0.0666666666666667</v>
      </c>
      <c r="S72" s="6" t="n">
        <f aca="false">Parametros!$B$3*I72+Parametros!$B$4*Q72</f>
        <v>0.0666666666666667</v>
      </c>
      <c r="T72" s="4" t="str">
        <f aca="false">IF(S72&lt;tablas!$C$3,"No activa",INDEX(tablas!$B$3:$B$8,MATCH(S72,tablas!$C$3:$C$8,1)))</f>
        <v>No activa</v>
      </c>
      <c r="U72" s="15" t="n">
        <f aca="false">IF(S72&lt;tablas!$C$3,0,INDEX(tablas!$D$3:$D$8,MATCH(S72,tablas!$C$3:$C$8,1)))</f>
        <v>0</v>
      </c>
      <c r="V72" s="16" t="n">
        <f aca="false">N(base!AQ72)</f>
        <v>1091</v>
      </c>
      <c r="W72" s="7" t="n">
        <f aca="false">U72*V72</f>
        <v>0</v>
      </c>
      <c r="X72" s="4" t="str">
        <f aca="false">IF(R72&lt;tablas!$C$3,"No activa",INDEX(tablas!$B$3:$B$8,MATCH(R72,tablas!$C$3:$C$8,1)))</f>
        <v>No activa</v>
      </c>
      <c r="Y72" s="7" t="n">
        <f aca="false">IF(R72&lt;tablas!$C$3,0,INDEX(tablas!$D$3:$D$8,MATCH(R72,tablas!$C$3:$C$8,1)))*V72</f>
        <v>0</v>
      </c>
      <c r="Z72" s="4" t="str">
        <f aca="false">IF(S72&gt;=tablas!$C$3,"Activa",IF(S72&gt;=Parametros!$B$5,"Cerca","No activa"))</f>
        <v>No activa</v>
      </c>
      <c r="AA72" s="6" t="n">
        <f aca="false">MAX(0,tablas!$C$3-S72)</f>
        <v>0.733333333333333</v>
      </c>
    </row>
    <row r="73" customFormat="false" ht="15" hidden="false" customHeight="false" outlineLevel="0" collapsed="false">
      <c r="A73" s="14" t="str">
        <f aca="false">base!A73</f>
        <v>48171542-9</v>
      </c>
      <c r="B73" s="14" t="str">
        <f aca="false">base!E73</f>
        <v>ReiNew</v>
      </c>
      <c r="C73" s="14" t="str">
        <f aca="false">base!D73</f>
        <v>Especializado</v>
      </c>
      <c r="D73" s="14" t="str">
        <f aca="false">base!F73</f>
        <v>FRANCIS SANCHEZ CAMPOS</v>
      </c>
      <c r="E73" s="14" t="str">
        <f aca="false">base!G73</f>
        <v>SINDY ZAMBRANO SOTERO</v>
      </c>
      <c r="F73" s="14" t="n">
        <f aca="false">N(base!O73)</f>
        <v>1</v>
      </c>
      <c r="G73" s="4" t="n">
        <f aca="false">SUM(base!U73:AF73)+N(base!AK73)</f>
        <v>5</v>
      </c>
      <c r="H73" s="14" t="n">
        <f aca="false">N(base!S73)</f>
        <v>23</v>
      </c>
      <c r="I73" s="6" t="n">
        <f aca="false">IFERROR(G73/H73,0)</f>
        <v>0.217391304347826</v>
      </c>
      <c r="J73" s="4" t="n">
        <f aca="false">SUM(base!AG73:AJ73)</f>
        <v>0</v>
      </c>
      <c r="K73" s="5" t="n">
        <f aca="false">IFERROR((base!AG73+base!AH73)/(base!K73+base!L73),0)</f>
        <v>0</v>
      </c>
      <c r="L73" s="5" t="n">
        <f aca="false">MAX(N(base!AI73),K73*N(base!M73))</f>
        <v>0</v>
      </c>
      <c r="M73" s="5" t="n">
        <f aca="false">MAX(N(base!AJ73),K73*N(base!N73))</f>
        <v>0</v>
      </c>
      <c r="N73" s="5" t="n">
        <f aca="false">base!AG73+base!AH73+L73+M73</f>
        <v>0</v>
      </c>
      <c r="O73" s="14" t="n">
        <f aca="false">N(base!T73)</f>
        <v>11</v>
      </c>
      <c r="P73" s="6" t="n">
        <f aca="false">IFERROR(J73/O73,0)</f>
        <v>0</v>
      </c>
      <c r="Q73" s="6" t="n">
        <f aca="false">IFERROR(N73/O73,0)</f>
        <v>0</v>
      </c>
      <c r="R73" s="6" t="n">
        <f aca="false">Parametros!$B$3*I73+Parametros!$B$4*P73</f>
        <v>0.152173913043478</v>
      </c>
      <c r="S73" s="6" t="n">
        <f aca="false">Parametros!$B$3*I73+Parametros!$B$4*Q73</f>
        <v>0.152173913043478</v>
      </c>
      <c r="T73" s="4" t="str">
        <f aca="false">IF(S73&lt;tablas!$C$3,"No activa",INDEX(tablas!$B$3:$B$8,MATCH(S73,tablas!$C$3:$C$8,1)))</f>
        <v>No activa</v>
      </c>
      <c r="U73" s="15" t="n">
        <f aca="false">IF(S73&lt;tablas!$C$3,0,INDEX(tablas!$D$3:$D$8,MATCH(S73,tablas!$C$3:$C$8,1)))</f>
        <v>0</v>
      </c>
      <c r="V73" s="16" t="n">
        <f aca="false">N(base!AQ73)</f>
        <v>1200</v>
      </c>
      <c r="W73" s="7" t="n">
        <f aca="false">U73*V73</f>
        <v>0</v>
      </c>
      <c r="X73" s="4" t="str">
        <f aca="false">IF(R73&lt;tablas!$C$3,"No activa",INDEX(tablas!$B$3:$B$8,MATCH(R73,tablas!$C$3:$C$8,1)))</f>
        <v>No activa</v>
      </c>
      <c r="Y73" s="7" t="n">
        <f aca="false">IF(R73&lt;tablas!$C$3,0,INDEX(tablas!$D$3:$D$8,MATCH(R73,tablas!$C$3:$C$8,1)))*V73</f>
        <v>0</v>
      </c>
      <c r="Z73" s="4" t="str">
        <f aca="false">IF(S73&gt;=tablas!$C$3,"Activa",IF(S73&gt;=Parametros!$B$5,"Cerca","No activa"))</f>
        <v>No activa</v>
      </c>
      <c r="AA73" s="6" t="n">
        <f aca="false">MAX(0,tablas!$C$3-S73)</f>
        <v>0.647826086956522</v>
      </c>
    </row>
    <row r="74" customFormat="false" ht="15" hidden="false" customHeight="false" outlineLevel="0" collapsed="false">
      <c r="A74" s="14" t="str">
        <f aca="false">base!A74</f>
        <v>47137289-2</v>
      </c>
      <c r="B74" s="14" t="str">
        <f aca="false">base!E74</f>
        <v>ReiNew</v>
      </c>
      <c r="C74" s="14" t="str">
        <f aca="false">base!D74</f>
        <v>Especializado</v>
      </c>
      <c r="D74" s="14" t="str">
        <f aca="false">base!F74</f>
        <v>FRANCIS SANCHEZ CAMPOS</v>
      </c>
      <c r="E74" s="14" t="str">
        <f aca="false">base!G74</f>
        <v>SINDY ZAMBRANO SOTERO</v>
      </c>
      <c r="F74" s="14" t="n">
        <f aca="false">N(base!O74)</f>
        <v>1</v>
      </c>
      <c r="G74" s="4" t="n">
        <f aca="false">SUM(base!U74:AF74)+N(base!AK74)</f>
        <v>1</v>
      </c>
      <c r="H74" s="14" t="n">
        <f aca="false">N(base!S74)</f>
        <v>23</v>
      </c>
      <c r="I74" s="6" t="n">
        <f aca="false">IFERROR(G74/H74,0)</f>
        <v>0.0434782608695652</v>
      </c>
      <c r="J74" s="4" t="n">
        <f aca="false">SUM(base!AG74:AJ74)</f>
        <v>0</v>
      </c>
      <c r="K74" s="5" t="n">
        <f aca="false">IFERROR((base!AG74+base!AH74)/(base!K74+base!L74),0)</f>
        <v>0</v>
      </c>
      <c r="L74" s="5" t="n">
        <f aca="false">MAX(N(base!AI74),K74*N(base!M74))</f>
        <v>0</v>
      </c>
      <c r="M74" s="5" t="n">
        <f aca="false">MAX(N(base!AJ74),K74*N(base!N74))</f>
        <v>0</v>
      </c>
      <c r="N74" s="5" t="n">
        <f aca="false">base!AG74+base!AH74+L74+M74</f>
        <v>0</v>
      </c>
      <c r="O74" s="14" t="n">
        <f aca="false">N(base!T74)</f>
        <v>11</v>
      </c>
      <c r="P74" s="6" t="n">
        <f aca="false">IFERROR(J74/O74,0)</f>
        <v>0</v>
      </c>
      <c r="Q74" s="6" t="n">
        <f aca="false">IFERROR(N74/O74,0)</f>
        <v>0</v>
      </c>
      <c r="R74" s="6" t="n">
        <f aca="false">Parametros!$B$3*I74+Parametros!$B$4*P74</f>
        <v>0.0304347826086957</v>
      </c>
      <c r="S74" s="6" t="n">
        <f aca="false">Parametros!$B$3*I74+Parametros!$B$4*Q74</f>
        <v>0.0304347826086957</v>
      </c>
      <c r="T74" s="4" t="str">
        <f aca="false">IF(S74&lt;tablas!$C$3,"No activa",INDEX(tablas!$B$3:$B$8,MATCH(S74,tablas!$C$3:$C$8,1)))</f>
        <v>No activa</v>
      </c>
      <c r="U74" s="15" t="n">
        <f aca="false">IF(S74&lt;tablas!$C$3,0,INDEX(tablas!$D$3:$D$8,MATCH(S74,tablas!$C$3:$C$8,1)))</f>
        <v>0</v>
      </c>
      <c r="V74" s="16" t="n">
        <f aca="false">N(base!AQ74)</f>
        <v>1200</v>
      </c>
      <c r="W74" s="7" t="n">
        <f aca="false">U74*V74</f>
        <v>0</v>
      </c>
      <c r="X74" s="4" t="str">
        <f aca="false">IF(R74&lt;tablas!$C$3,"No activa",INDEX(tablas!$B$3:$B$8,MATCH(R74,tablas!$C$3:$C$8,1)))</f>
        <v>No activa</v>
      </c>
      <c r="Y74" s="7" t="n">
        <f aca="false">IF(R74&lt;tablas!$C$3,0,INDEX(tablas!$D$3:$D$8,MATCH(R74,tablas!$C$3:$C$8,1)))*V74</f>
        <v>0</v>
      </c>
      <c r="Z74" s="4" t="str">
        <f aca="false">IF(S74&gt;=tablas!$C$3,"Activa",IF(S74&gt;=Parametros!$B$5,"Cerca","No activa"))</f>
        <v>No activa</v>
      </c>
      <c r="AA74" s="6" t="n">
        <f aca="false">MAX(0,tablas!$C$3-S74)</f>
        <v>0.769565217391304</v>
      </c>
    </row>
    <row r="75" customFormat="false" ht="15" hidden="false" customHeight="false" outlineLevel="0" collapsed="false">
      <c r="A75" s="14" t="str">
        <f aca="false">base!A75</f>
        <v>76379022-9</v>
      </c>
      <c r="B75" s="14" t="str">
        <f aca="false">base!E75</f>
        <v>ReiNew</v>
      </c>
      <c r="C75" s="14" t="str">
        <f aca="false">base!D75</f>
        <v>Especializado</v>
      </c>
      <c r="D75" s="14" t="str">
        <f aca="false">base!F75</f>
        <v>FRANCIS SANCHEZ CAMPOS</v>
      </c>
      <c r="E75" s="14" t="str">
        <f aca="false">base!G75</f>
        <v>SINDY ZAMBRANO SOTERO</v>
      </c>
      <c r="F75" s="14" t="n">
        <f aca="false">N(base!O75)</f>
        <v>1</v>
      </c>
      <c r="G75" s="4" t="n">
        <f aca="false">SUM(base!U75:AF75)+N(base!AK75)</f>
        <v>5</v>
      </c>
      <c r="H75" s="14" t="n">
        <f aca="false">N(base!S75)</f>
        <v>23</v>
      </c>
      <c r="I75" s="6" t="n">
        <f aca="false">IFERROR(G75/H75,0)</f>
        <v>0.217391304347826</v>
      </c>
      <c r="J75" s="4" t="n">
        <f aca="false">SUM(base!AG75:AJ75)</f>
        <v>0</v>
      </c>
      <c r="K75" s="5" t="n">
        <f aca="false">IFERROR((base!AG75+base!AH75)/(base!K75+base!L75),0)</f>
        <v>0</v>
      </c>
      <c r="L75" s="5" t="n">
        <f aca="false">MAX(N(base!AI75),K75*N(base!M75))</f>
        <v>0</v>
      </c>
      <c r="M75" s="5" t="n">
        <f aca="false">MAX(N(base!AJ75),K75*N(base!N75))</f>
        <v>0</v>
      </c>
      <c r="N75" s="5" t="n">
        <f aca="false">base!AG75+base!AH75+L75+M75</f>
        <v>0</v>
      </c>
      <c r="O75" s="14" t="n">
        <f aca="false">N(base!T75)</f>
        <v>11</v>
      </c>
      <c r="P75" s="6" t="n">
        <f aca="false">IFERROR(J75/O75,0)</f>
        <v>0</v>
      </c>
      <c r="Q75" s="6" t="n">
        <f aca="false">IFERROR(N75/O75,0)</f>
        <v>0</v>
      </c>
      <c r="R75" s="6" t="n">
        <f aca="false">Parametros!$B$3*I75+Parametros!$B$4*P75</f>
        <v>0.152173913043478</v>
      </c>
      <c r="S75" s="6" t="n">
        <f aca="false">Parametros!$B$3*I75+Parametros!$B$4*Q75</f>
        <v>0.152173913043478</v>
      </c>
      <c r="T75" s="4" t="str">
        <f aca="false">IF(S75&lt;tablas!$C$3,"No activa",INDEX(tablas!$B$3:$B$8,MATCH(S75,tablas!$C$3:$C$8,1)))</f>
        <v>No activa</v>
      </c>
      <c r="U75" s="15" t="n">
        <f aca="false">IF(S75&lt;tablas!$C$3,0,INDEX(tablas!$D$3:$D$8,MATCH(S75,tablas!$C$3:$C$8,1)))</f>
        <v>0</v>
      </c>
      <c r="V75" s="16" t="n">
        <f aca="false">N(base!AQ75)</f>
        <v>1200</v>
      </c>
      <c r="W75" s="7" t="n">
        <f aca="false">U75*V75</f>
        <v>0</v>
      </c>
      <c r="X75" s="4" t="str">
        <f aca="false">IF(R75&lt;tablas!$C$3,"No activa",INDEX(tablas!$B$3:$B$8,MATCH(R75,tablas!$C$3:$C$8,1)))</f>
        <v>No activa</v>
      </c>
      <c r="Y75" s="7" t="n">
        <f aca="false">IF(R75&lt;tablas!$C$3,0,INDEX(tablas!$D$3:$D$8,MATCH(R75,tablas!$C$3:$C$8,1)))*V75</f>
        <v>0</v>
      </c>
      <c r="Z75" s="4" t="str">
        <f aca="false">IF(S75&gt;=tablas!$C$3,"Activa",IF(S75&gt;=Parametros!$B$5,"Cerca","No activa"))</f>
        <v>No activa</v>
      </c>
      <c r="AA75" s="6" t="n">
        <f aca="false">MAX(0,tablas!$C$3-S75)</f>
        <v>0.647826086956522</v>
      </c>
    </row>
    <row r="76" customFormat="false" ht="15" hidden="false" customHeight="false" outlineLevel="0" collapsed="false">
      <c r="A76" s="14" t="str">
        <f aca="false">base!A76</f>
        <v>48432407-2</v>
      </c>
      <c r="B76" s="14" t="str">
        <f aca="false">base!E76</f>
        <v>ReiNew</v>
      </c>
      <c r="C76" s="14" t="str">
        <f aca="false">base!D76</f>
        <v>Especializado</v>
      </c>
      <c r="D76" s="14" t="str">
        <f aca="false">base!F76</f>
        <v>FRANCIS SANCHEZ CAMPOS</v>
      </c>
      <c r="E76" s="14" t="str">
        <f aca="false">base!G76</f>
        <v>SINDY ZAMBRANO SOTERO</v>
      </c>
      <c r="F76" s="14" t="n">
        <f aca="false">N(base!O76)</f>
        <v>0.75</v>
      </c>
      <c r="G76" s="4" t="n">
        <f aca="false">SUM(base!U76:AF76)+N(base!AK76)</f>
        <v>5</v>
      </c>
      <c r="H76" s="14" t="n">
        <f aca="false">N(base!S76)</f>
        <v>17</v>
      </c>
      <c r="I76" s="6" t="n">
        <f aca="false">IFERROR(G76/H76,0)</f>
        <v>0.294117647058824</v>
      </c>
      <c r="J76" s="4" t="n">
        <f aca="false">SUM(base!AG76:AJ76)</f>
        <v>0</v>
      </c>
      <c r="K76" s="5" t="n">
        <f aca="false">IFERROR((base!AG76+base!AH76)/(base!K76+base!L76),0)</f>
        <v>0</v>
      </c>
      <c r="L76" s="5" t="n">
        <f aca="false">MAX(N(base!AI76),K76*N(base!M76))</f>
        <v>0</v>
      </c>
      <c r="M76" s="5" t="n">
        <f aca="false">MAX(N(base!AJ76),K76*N(base!N76))</f>
        <v>0</v>
      </c>
      <c r="N76" s="5" t="n">
        <f aca="false">base!AG76+base!AH76+L76+M76</f>
        <v>0</v>
      </c>
      <c r="O76" s="14" t="n">
        <f aca="false">N(base!T76)</f>
        <v>9</v>
      </c>
      <c r="P76" s="6" t="n">
        <f aca="false">IFERROR(J76/O76,0)</f>
        <v>0</v>
      </c>
      <c r="Q76" s="6" t="n">
        <f aca="false">IFERROR(N76/O76,0)</f>
        <v>0</v>
      </c>
      <c r="R76" s="6" t="n">
        <f aca="false">Parametros!$B$3*I76+Parametros!$B$4*P76</f>
        <v>0.205882352941176</v>
      </c>
      <c r="S76" s="6" t="n">
        <f aca="false">Parametros!$B$3*I76+Parametros!$B$4*Q76</f>
        <v>0.205882352941176</v>
      </c>
      <c r="T76" s="4" t="str">
        <f aca="false">IF(S76&lt;tablas!$C$3,"No activa",INDEX(tablas!$B$3:$B$8,MATCH(S76,tablas!$C$3:$C$8,1)))</f>
        <v>No activa</v>
      </c>
      <c r="U76" s="15" t="n">
        <f aca="false">IF(S76&lt;tablas!$C$3,0,INDEX(tablas!$D$3:$D$8,MATCH(S76,tablas!$C$3:$C$8,1)))</f>
        <v>0</v>
      </c>
      <c r="V76" s="16" t="n">
        <f aca="false">N(base!AQ76)</f>
        <v>900</v>
      </c>
      <c r="W76" s="7" t="n">
        <f aca="false">U76*V76</f>
        <v>0</v>
      </c>
      <c r="X76" s="4" t="str">
        <f aca="false">IF(R76&lt;tablas!$C$3,"No activa",INDEX(tablas!$B$3:$B$8,MATCH(R76,tablas!$C$3:$C$8,1)))</f>
        <v>No activa</v>
      </c>
      <c r="Y76" s="7" t="n">
        <f aca="false">IF(R76&lt;tablas!$C$3,0,INDEX(tablas!$D$3:$D$8,MATCH(R76,tablas!$C$3:$C$8,1)))*V76</f>
        <v>0</v>
      </c>
      <c r="Z76" s="4" t="str">
        <f aca="false">IF(S76&gt;=tablas!$C$3,"Activa",IF(S76&gt;=Parametros!$B$5,"Cerca","No activa"))</f>
        <v>No activa</v>
      </c>
      <c r="AA76" s="6" t="n">
        <f aca="false">MAX(0,tablas!$C$3-S76)</f>
        <v>0.594117647058824</v>
      </c>
    </row>
    <row r="77" customFormat="false" ht="15" hidden="false" customHeight="false" outlineLevel="0" collapsed="false">
      <c r="A77" s="14" t="str">
        <f aca="false">base!A77</f>
        <v>44037527-3</v>
      </c>
      <c r="B77" s="14" t="str">
        <f aca="false">base!E77</f>
        <v>ReiNew</v>
      </c>
      <c r="C77" s="14" t="str">
        <f aca="false">base!D77</f>
        <v>Especializado</v>
      </c>
      <c r="D77" s="14" t="str">
        <f aca="false">base!F77</f>
        <v>GIANFRANCO ZAIRA BRIONES</v>
      </c>
      <c r="E77" s="14" t="str">
        <f aca="false">base!G77</f>
        <v>SINDY ZAMBRANO SOTERO</v>
      </c>
      <c r="F77" s="14" t="n">
        <f aca="false">N(base!O77)</f>
        <v>1</v>
      </c>
      <c r="G77" s="4" t="n">
        <f aca="false">SUM(base!U77:AF77)+N(base!AK77)</f>
        <v>2</v>
      </c>
      <c r="H77" s="14" t="n">
        <f aca="false">N(base!S77)</f>
        <v>23</v>
      </c>
      <c r="I77" s="6" t="n">
        <f aca="false">IFERROR(G77/H77,0)</f>
        <v>0.0869565217391304</v>
      </c>
      <c r="J77" s="4" t="n">
        <f aca="false">SUM(base!AG77:AJ77)</f>
        <v>0</v>
      </c>
      <c r="K77" s="5" t="n">
        <f aca="false">IFERROR((base!AG77+base!AH77)/(base!K77+base!L77),0)</f>
        <v>0</v>
      </c>
      <c r="L77" s="5" t="n">
        <f aca="false">MAX(N(base!AI77),K77*N(base!M77))</f>
        <v>0</v>
      </c>
      <c r="M77" s="5" t="n">
        <f aca="false">MAX(N(base!AJ77),K77*N(base!N77))</f>
        <v>0</v>
      </c>
      <c r="N77" s="5" t="n">
        <f aca="false">base!AG77+base!AH77+L77+M77</f>
        <v>0</v>
      </c>
      <c r="O77" s="14" t="n">
        <f aca="false">N(base!T77)</f>
        <v>11</v>
      </c>
      <c r="P77" s="6" t="n">
        <f aca="false">IFERROR(J77/O77,0)</f>
        <v>0</v>
      </c>
      <c r="Q77" s="6" t="n">
        <f aca="false">IFERROR(N77/O77,0)</f>
        <v>0</v>
      </c>
      <c r="R77" s="6" t="n">
        <f aca="false">Parametros!$B$3*I77+Parametros!$B$4*P77</f>
        <v>0.0608695652173913</v>
      </c>
      <c r="S77" s="6" t="n">
        <f aca="false">Parametros!$B$3*I77+Parametros!$B$4*Q77</f>
        <v>0.0608695652173913</v>
      </c>
      <c r="T77" s="4" t="str">
        <f aca="false">IF(S77&lt;tablas!$C$3,"No activa",INDEX(tablas!$B$3:$B$8,MATCH(S77,tablas!$C$3:$C$8,1)))</f>
        <v>No activa</v>
      </c>
      <c r="U77" s="15" t="n">
        <f aca="false">IF(S77&lt;tablas!$C$3,0,INDEX(tablas!$D$3:$D$8,MATCH(S77,tablas!$C$3:$C$8,1)))</f>
        <v>0</v>
      </c>
      <c r="V77" s="16" t="n">
        <f aca="false">N(base!AQ77)</f>
        <v>1200</v>
      </c>
      <c r="W77" s="7" t="n">
        <f aca="false">U77*V77</f>
        <v>0</v>
      </c>
      <c r="X77" s="4" t="str">
        <f aca="false">IF(R77&lt;tablas!$C$3,"No activa",INDEX(tablas!$B$3:$B$8,MATCH(R77,tablas!$C$3:$C$8,1)))</f>
        <v>No activa</v>
      </c>
      <c r="Y77" s="7" t="n">
        <f aca="false">IF(R77&lt;tablas!$C$3,0,INDEX(tablas!$D$3:$D$8,MATCH(R77,tablas!$C$3:$C$8,1)))*V77</f>
        <v>0</v>
      </c>
      <c r="Z77" s="4" t="str">
        <f aca="false">IF(S77&gt;=tablas!$C$3,"Activa",IF(S77&gt;=Parametros!$B$5,"Cerca","No activa"))</f>
        <v>No activa</v>
      </c>
      <c r="AA77" s="6" t="n">
        <f aca="false">MAX(0,tablas!$C$3-S77)</f>
        <v>0.739130434782609</v>
      </c>
    </row>
    <row r="78" customFormat="false" ht="15" hidden="false" customHeight="false" outlineLevel="0" collapsed="false">
      <c r="A78" s="14" t="str">
        <f aca="false">base!A78</f>
        <v>46864727-9</v>
      </c>
      <c r="B78" s="14" t="str">
        <f aca="false">base!E78</f>
        <v>ReiNew</v>
      </c>
      <c r="C78" s="14" t="str">
        <f aca="false">base!D78</f>
        <v>Especializado</v>
      </c>
      <c r="D78" s="14" t="str">
        <f aca="false">base!F78</f>
        <v>GIANFRANCO ZAIRA BRIONES</v>
      </c>
      <c r="E78" s="14" t="str">
        <f aca="false">base!G78</f>
        <v>SINDY ZAMBRANO SOTERO</v>
      </c>
      <c r="F78" s="14" t="n">
        <f aca="false">N(base!O78)</f>
        <v>1</v>
      </c>
      <c r="G78" s="4" t="n">
        <f aca="false">SUM(base!U78:AF78)+N(base!AK78)</f>
        <v>4</v>
      </c>
      <c r="H78" s="14" t="n">
        <f aca="false">N(base!S78)</f>
        <v>23</v>
      </c>
      <c r="I78" s="6" t="n">
        <f aca="false">IFERROR(G78/H78,0)</f>
        <v>0.173913043478261</v>
      </c>
      <c r="J78" s="4" t="n">
        <f aca="false">SUM(base!AG78:AJ78)</f>
        <v>0</v>
      </c>
      <c r="K78" s="5" t="n">
        <f aca="false">IFERROR((base!AG78+base!AH78)/(base!K78+base!L78),0)</f>
        <v>0</v>
      </c>
      <c r="L78" s="5" t="n">
        <f aca="false">MAX(N(base!AI78),K78*N(base!M78))</f>
        <v>0</v>
      </c>
      <c r="M78" s="5" t="n">
        <f aca="false">MAX(N(base!AJ78),K78*N(base!N78))</f>
        <v>0</v>
      </c>
      <c r="N78" s="5" t="n">
        <f aca="false">base!AG78+base!AH78+L78+M78</f>
        <v>0</v>
      </c>
      <c r="O78" s="14" t="n">
        <f aca="false">N(base!T78)</f>
        <v>11</v>
      </c>
      <c r="P78" s="6" t="n">
        <f aca="false">IFERROR(J78/O78,0)</f>
        <v>0</v>
      </c>
      <c r="Q78" s="6" t="n">
        <f aca="false">IFERROR(N78/O78,0)</f>
        <v>0</v>
      </c>
      <c r="R78" s="6" t="n">
        <f aca="false">Parametros!$B$3*I78+Parametros!$B$4*P78</f>
        <v>0.121739130434783</v>
      </c>
      <c r="S78" s="6" t="n">
        <f aca="false">Parametros!$B$3*I78+Parametros!$B$4*Q78</f>
        <v>0.121739130434783</v>
      </c>
      <c r="T78" s="4" t="str">
        <f aca="false">IF(S78&lt;tablas!$C$3,"No activa",INDEX(tablas!$B$3:$B$8,MATCH(S78,tablas!$C$3:$C$8,1)))</f>
        <v>No activa</v>
      </c>
      <c r="U78" s="15" t="n">
        <f aca="false">IF(S78&lt;tablas!$C$3,0,INDEX(tablas!$D$3:$D$8,MATCH(S78,tablas!$C$3:$C$8,1)))</f>
        <v>0</v>
      </c>
      <c r="V78" s="16" t="n">
        <f aca="false">N(base!AQ78)</f>
        <v>1200</v>
      </c>
      <c r="W78" s="7" t="n">
        <f aca="false">U78*V78</f>
        <v>0</v>
      </c>
      <c r="X78" s="4" t="str">
        <f aca="false">IF(R78&lt;tablas!$C$3,"No activa",INDEX(tablas!$B$3:$B$8,MATCH(R78,tablas!$C$3:$C$8,1)))</f>
        <v>No activa</v>
      </c>
      <c r="Y78" s="7" t="n">
        <f aca="false">IF(R78&lt;tablas!$C$3,0,INDEX(tablas!$D$3:$D$8,MATCH(R78,tablas!$C$3:$C$8,1)))*V78</f>
        <v>0</v>
      </c>
      <c r="Z78" s="4" t="str">
        <f aca="false">IF(S78&gt;=tablas!$C$3,"Activa",IF(S78&gt;=Parametros!$B$5,"Cerca","No activa"))</f>
        <v>No activa</v>
      </c>
      <c r="AA78" s="6" t="n">
        <f aca="false">MAX(0,tablas!$C$3-S78)</f>
        <v>0.678260869565218</v>
      </c>
    </row>
    <row r="79" customFormat="false" ht="15" hidden="false" customHeight="false" outlineLevel="0" collapsed="false">
      <c r="A79" s="14" t="str">
        <f aca="false">base!A79</f>
        <v>47363155-1</v>
      </c>
      <c r="B79" s="14" t="str">
        <f aca="false">base!E79</f>
        <v>ReiNew</v>
      </c>
      <c r="C79" s="14" t="str">
        <f aca="false">base!D79</f>
        <v>Especializado</v>
      </c>
      <c r="D79" s="14" t="str">
        <f aca="false">base!F79</f>
        <v>GIANFRANCO ZAIRA BRIONES</v>
      </c>
      <c r="E79" s="14" t="str">
        <f aca="false">base!G79</f>
        <v>SINDY ZAMBRANO SOTERO</v>
      </c>
      <c r="F79" s="14" t="n">
        <f aca="false">N(base!O79)</f>
        <v>0.454545454545455</v>
      </c>
      <c r="G79" s="4" t="n">
        <f aca="false">SUM(base!U79:AF79)+N(base!AK79)</f>
        <v>4</v>
      </c>
      <c r="H79" s="14" t="n">
        <f aca="false">N(base!S79)</f>
        <v>10</v>
      </c>
      <c r="I79" s="6" t="n">
        <f aca="false">IFERROR(G79/H79,0)</f>
        <v>0.4</v>
      </c>
      <c r="J79" s="4" t="n">
        <f aca="false">SUM(base!AG79:AJ79)</f>
        <v>0</v>
      </c>
      <c r="K79" s="5" t="n">
        <f aca="false">IFERROR((base!AG79+base!AH79)/(base!K79+base!L79),0)</f>
        <v>0</v>
      </c>
      <c r="L79" s="5" t="n">
        <f aca="false">MAX(N(base!AI79),K79*N(base!M79))</f>
        <v>0</v>
      </c>
      <c r="M79" s="5" t="n">
        <f aca="false">MAX(N(base!AJ79),K79*N(base!N79))</f>
        <v>0</v>
      </c>
      <c r="N79" s="5" t="n">
        <f aca="false">base!AG79+base!AH79+L79+M79</f>
        <v>0</v>
      </c>
      <c r="O79" s="14" t="n">
        <f aca="false">N(base!T79)</f>
        <v>6</v>
      </c>
      <c r="P79" s="6" t="n">
        <f aca="false">IFERROR(J79/O79,0)</f>
        <v>0</v>
      </c>
      <c r="Q79" s="6" t="n">
        <f aca="false">IFERROR(N79/O79,0)</f>
        <v>0</v>
      </c>
      <c r="R79" s="6" t="n">
        <f aca="false">Parametros!$B$3*I79+Parametros!$B$4*P79</f>
        <v>0.28</v>
      </c>
      <c r="S79" s="6" t="n">
        <f aca="false">Parametros!$B$3*I79+Parametros!$B$4*Q79</f>
        <v>0.28</v>
      </c>
      <c r="T79" s="4" t="str">
        <f aca="false">IF(S79&lt;tablas!$C$3,"No activa",INDEX(tablas!$B$3:$B$8,MATCH(S79,tablas!$C$3:$C$8,1)))</f>
        <v>No activa</v>
      </c>
      <c r="U79" s="15" t="n">
        <f aca="false">IF(S79&lt;tablas!$C$3,0,INDEX(tablas!$D$3:$D$8,MATCH(S79,tablas!$C$3:$C$8,1)))</f>
        <v>0</v>
      </c>
      <c r="V79" s="16" t="n">
        <f aca="false">N(base!AQ79)</f>
        <v>545</v>
      </c>
      <c r="W79" s="7" t="n">
        <f aca="false">U79*V79</f>
        <v>0</v>
      </c>
      <c r="X79" s="4" t="str">
        <f aca="false">IF(R79&lt;tablas!$C$3,"No activa",INDEX(tablas!$B$3:$B$8,MATCH(R79,tablas!$C$3:$C$8,1)))</f>
        <v>No activa</v>
      </c>
      <c r="Y79" s="7" t="n">
        <f aca="false">IF(R79&lt;tablas!$C$3,0,INDEX(tablas!$D$3:$D$8,MATCH(R79,tablas!$C$3:$C$8,1)))*V79</f>
        <v>0</v>
      </c>
      <c r="Z79" s="4" t="str">
        <f aca="false">IF(S79&gt;=tablas!$C$3,"Activa",IF(S79&gt;=Parametros!$B$5,"Cerca","No activa"))</f>
        <v>No activa</v>
      </c>
      <c r="AA79" s="6" t="n">
        <f aca="false">MAX(0,tablas!$C$3-S79)</f>
        <v>0.52</v>
      </c>
    </row>
    <row r="80" customFormat="false" ht="15" hidden="false" customHeight="false" outlineLevel="0" collapsed="false">
      <c r="A80" s="14" t="str">
        <f aca="false">base!A80</f>
        <v>75435664-8</v>
      </c>
      <c r="B80" s="14" t="str">
        <f aca="false">base!E80</f>
        <v>ReiNew</v>
      </c>
      <c r="C80" s="14" t="str">
        <f aca="false">base!D80</f>
        <v>Especializado</v>
      </c>
      <c r="D80" s="14" t="str">
        <f aca="false">base!F80</f>
        <v>GIANFRANCO ZAIRA BRIONES</v>
      </c>
      <c r="E80" s="14" t="str">
        <f aca="false">base!G80</f>
        <v>SINDY ZAMBRANO SOTERO</v>
      </c>
      <c r="F80" s="14" t="n">
        <f aca="false">N(base!O80)</f>
        <v>1</v>
      </c>
      <c r="G80" s="4" t="n">
        <f aca="false">SUM(base!U80:AF80)+N(base!AK80)</f>
        <v>3</v>
      </c>
      <c r="H80" s="14" t="n">
        <f aca="false">N(base!S80)</f>
        <v>23</v>
      </c>
      <c r="I80" s="6" t="n">
        <f aca="false">IFERROR(G80/H80,0)</f>
        <v>0.130434782608696</v>
      </c>
      <c r="J80" s="4" t="n">
        <f aca="false">SUM(base!AG80:AJ80)</f>
        <v>0</v>
      </c>
      <c r="K80" s="5" t="n">
        <f aca="false">IFERROR((base!AG80+base!AH80)/(base!K80+base!L80),0)</f>
        <v>0</v>
      </c>
      <c r="L80" s="5" t="n">
        <f aca="false">MAX(N(base!AI80),K80*N(base!M80))</f>
        <v>0</v>
      </c>
      <c r="M80" s="5" t="n">
        <f aca="false">MAX(N(base!AJ80),K80*N(base!N80))</f>
        <v>0</v>
      </c>
      <c r="N80" s="5" t="n">
        <f aca="false">base!AG80+base!AH80+L80+M80</f>
        <v>0</v>
      </c>
      <c r="O80" s="14" t="n">
        <f aca="false">N(base!T80)</f>
        <v>11</v>
      </c>
      <c r="P80" s="6" t="n">
        <f aca="false">IFERROR(J80/O80,0)</f>
        <v>0</v>
      </c>
      <c r="Q80" s="6" t="n">
        <f aca="false">IFERROR(N80/O80,0)</f>
        <v>0</v>
      </c>
      <c r="R80" s="6" t="n">
        <f aca="false">Parametros!$B$3*I80+Parametros!$B$4*P80</f>
        <v>0.0913043478260869</v>
      </c>
      <c r="S80" s="6" t="n">
        <f aca="false">Parametros!$B$3*I80+Parametros!$B$4*Q80</f>
        <v>0.0913043478260869</v>
      </c>
      <c r="T80" s="4" t="str">
        <f aca="false">IF(S80&lt;tablas!$C$3,"No activa",INDEX(tablas!$B$3:$B$8,MATCH(S80,tablas!$C$3:$C$8,1)))</f>
        <v>No activa</v>
      </c>
      <c r="U80" s="15" t="n">
        <f aca="false">IF(S80&lt;tablas!$C$3,0,INDEX(tablas!$D$3:$D$8,MATCH(S80,tablas!$C$3:$C$8,1)))</f>
        <v>0</v>
      </c>
      <c r="V80" s="16" t="n">
        <f aca="false">N(base!AQ80)</f>
        <v>1200</v>
      </c>
      <c r="W80" s="7" t="n">
        <f aca="false">U80*V80</f>
        <v>0</v>
      </c>
      <c r="X80" s="4" t="str">
        <f aca="false">IF(R80&lt;tablas!$C$3,"No activa",INDEX(tablas!$B$3:$B$8,MATCH(R80,tablas!$C$3:$C$8,1)))</f>
        <v>No activa</v>
      </c>
      <c r="Y80" s="7" t="n">
        <f aca="false">IF(R80&lt;tablas!$C$3,0,INDEX(tablas!$D$3:$D$8,MATCH(R80,tablas!$C$3:$C$8,1)))*V80</f>
        <v>0</v>
      </c>
      <c r="Z80" s="4" t="str">
        <f aca="false">IF(S80&gt;=tablas!$C$3,"Activa",IF(S80&gt;=Parametros!$B$5,"Cerca","No activa"))</f>
        <v>No activa</v>
      </c>
      <c r="AA80" s="6" t="n">
        <f aca="false">MAX(0,tablas!$C$3-S80)</f>
        <v>0.708695652173913</v>
      </c>
    </row>
    <row r="81" customFormat="false" ht="15" hidden="false" customHeight="false" outlineLevel="0" collapsed="false">
      <c r="A81" s="14" t="str">
        <f aca="false">base!A81</f>
        <v>72353162-0</v>
      </c>
      <c r="B81" s="14" t="str">
        <f aca="false">base!E81</f>
        <v>ReiNew</v>
      </c>
      <c r="C81" s="14" t="str">
        <f aca="false">base!D81</f>
        <v>Especializado</v>
      </c>
      <c r="D81" s="14" t="str">
        <f aca="false">base!F81</f>
        <v>GIANFRANCO ZAIRA BRIONES</v>
      </c>
      <c r="E81" s="14" t="str">
        <f aca="false">base!G81</f>
        <v>SINDY ZAMBRANO SOTERO</v>
      </c>
      <c r="F81" s="14" t="n">
        <f aca="false">N(base!O81)</f>
        <v>0.454545454545455</v>
      </c>
      <c r="G81" s="4" t="n">
        <f aca="false">SUM(base!U81:AF81)+N(base!AK81)</f>
        <v>0</v>
      </c>
      <c r="H81" s="14" t="n">
        <f aca="false">N(base!S81)</f>
        <v>10</v>
      </c>
      <c r="I81" s="6" t="n">
        <f aca="false">IFERROR(G81/H81,0)</f>
        <v>0</v>
      </c>
      <c r="J81" s="4" t="n">
        <f aca="false">SUM(base!AG81:AJ81)</f>
        <v>0</v>
      </c>
      <c r="K81" s="5" t="n">
        <f aca="false">IFERROR((base!AG81+base!AH81)/(base!K81+base!L81),0)</f>
        <v>0</v>
      </c>
      <c r="L81" s="5" t="n">
        <f aca="false">MAX(N(base!AI81),K81*N(base!M81))</f>
        <v>0</v>
      </c>
      <c r="M81" s="5" t="n">
        <f aca="false">MAX(N(base!AJ81),K81*N(base!N81))</f>
        <v>0</v>
      </c>
      <c r="N81" s="5" t="n">
        <f aca="false">base!AG81+base!AH81+L81+M81</f>
        <v>0</v>
      </c>
      <c r="O81" s="14" t="n">
        <f aca="false">N(base!T81)</f>
        <v>6</v>
      </c>
      <c r="P81" s="6" t="n">
        <f aca="false">IFERROR(J81/O81,0)</f>
        <v>0</v>
      </c>
      <c r="Q81" s="6" t="n">
        <f aca="false">IFERROR(N81/O81,0)</f>
        <v>0</v>
      </c>
      <c r="R81" s="6" t="n">
        <f aca="false">Parametros!$B$3*I81+Parametros!$B$4*P81</f>
        <v>0</v>
      </c>
      <c r="S81" s="6" t="n">
        <f aca="false">Parametros!$B$3*I81+Parametros!$B$4*Q81</f>
        <v>0</v>
      </c>
      <c r="T81" s="4" t="str">
        <f aca="false">IF(S81&lt;tablas!$C$3,"No activa",INDEX(tablas!$B$3:$B$8,MATCH(S81,tablas!$C$3:$C$8,1)))</f>
        <v>No activa</v>
      </c>
      <c r="U81" s="15" t="n">
        <f aca="false">IF(S81&lt;tablas!$C$3,0,INDEX(tablas!$D$3:$D$8,MATCH(S81,tablas!$C$3:$C$8,1)))</f>
        <v>0</v>
      </c>
      <c r="V81" s="16" t="n">
        <f aca="false">N(base!AQ81)</f>
        <v>545</v>
      </c>
      <c r="W81" s="7" t="n">
        <f aca="false">U81*V81</f>
        <v>0</v>
      </c>
      <c r="X81" s="4" t="str">
        <f aca="false">IF(R81&lt;tablas!$C$3,"No activa",INDEX(tablas!$B$3:$B$8,MATCH(R81,tablas!$C$3:$C$8,1)))</f>
        <v>No activa</v>
      </c>
      <c r="Y81" s="7" t="n">
        <f aca="false">IF(R81&lt;tablas!$C$3,0,INDEX(tablas!$D$3:$D$8,MATCH(R81,tablas!$C$3:$C$8,1)))*V81</f>
        <v>0</v>
      </c>
      <c r="Z81" s="4" t="str">
        <f aca="false">IF(S81&gt;=tablas!$C$3,"Activa",IF(S81&gt;=Parametros!$B$5,"Cerca","No activa"))</f>
        <v>No activa</v>
      </c>
      <c r="AA81" s="6" t="n">
        <f aca="false">MAX(0,tablas!$C$3-S81)</f>
        <v>0.8</v>
      </c>
    </row>
    <row r="82" customFormat="false" ht="15" hidden="false" customHeight="false" outlineLevel="0" collapsed="false">
      <c r="A82" s="14" t="str">
        <f aca="false">base!A82</f>
        <v>77134549-8</v>
      </c>
      <c r="B82" s="14" t="str">
        <f aca="false">base!E82</f>
        <v>ReiNew</v>
      </c>
      <c r="C82" s="14" t="str">
        <f aca="false">base!D82</f>
        <v>Especializado</v>
      </c>
      <c r="D82" s="14" t="str">
        <f aca="false">base!F82</f>
        <v>GIANFRANCO ZAIRA BRIONES</v>
      </c>
      <c r="E82" s="14" t="str">
        <f aca="false">base!G82</f>
        <v>SINDY ZAMBRANO SOTERO</v>
      </c>
      <c r="F82" s="14" t="n">
        <f aca="false">N(base!O82)</f>
        <v>1</v>
      </c>
      <c r="G82" s="4" t="n">
        <f aca="false">SUM(base!U82:AF82)+N(base!AK82)</f>
        <v>1</v>
      </c>
      <c r="H82" s="14" t="n">
        <f aca="false">N(base!S82)</f>
        <v>23</v>
      </c>
      <c r="I82" s="6" t="n">
        <f aca="false">IFERROR(G82/H82,0)</f>
        <v>0.0434782608695652</v>
      </c>
      <c r="J82" s="4" t="n">
        <f aca="false">SUM(base!AG82:AJ82)</f>
        <v>0</v>
      </c>
      <c r="K82" s="5" t="n">
        <f aca="false">IFERROR((base!AG82+base!AH82)/(base!K82+base!L82),0)</f>
        <v>0</v>
      </c>
      <c r="L82" s="5" t="n">
        <f aca="false">MAX(N(base!AI82),K82*N(base!M82))</f>
        <v>0</v>
      </c>
      <c r="M82" s="5" t="n">
        <f aca="false">MAX(N(base!AJ82),K82*N(base!N82))</f>
        <v>0</v>
      </c>
      <c r="N82" s="5" t="n">
        <f aca="false">base!AG82+base!AH82+L82+M82</f>
        <v>0</v>
      </c>
      <c r="O82" s="14" t="n">
        <f aca="false">N(base!T82)</f>
        <v>11</v>
      </c>
      <c r="P82" s="6" t="n">
        <f aca="false">IFERROR(J82/O82,0)</f>
        <v>0</v>
      </c>
      <c r="Q82" s="6" t="n">
        <f aca="false">IFERROR(N82/O82,0)</f>
        <v>0</v>
      </c>
      <c r="R82" s="6" t="n">
        <f aca="false">Parametros!$B$3*I82+Parametros!$B$4*P82</f>
        <v>0.0304347826086957</v>
      </c>
      <c r="S82" s="6" t="n">
        <f aca="false">Parametros!$B$3*I82+Parametros!$B$4*Q82</f>
        <v>0.0304347826086957</v>
      </c>
      <c r="T82" s="4" t="str">
        <f aca="false">IF(S82&lt;tablas!$C$3,"No activa",INDEX(tablas!$B$3:$B$8,MATCH(S82,tablas!$C$3:$C$8,1)))</f>
        <v>No activa</v>
      </c>
      <c r="U82" s="15" t="n">
        <f aca="false">IF(S82&lt;tablas!$C$3,0,INDEX(tablas!$D$3:$D$8,MATCH(S82,tablas!$C$3:$C$8,1)))</f>
        <v>0</v>
      </c>
      <c r="V82" s="16" t="n">
        <f aca="false">N(base!AQ82)</f>
        <v>1200</v>
      </c>
      <c r="W82" s="7" t="n">
        <f aca="false">U82*V82</f>
        <v>0</v>
      </c>
      <c r="X82" s="4" t="str">
        <f aca="false">IF(R82&lt;tablas!$C$3,"No activa",INDEX(tablas!$B$3:$B$8,MATCH(R82,tablas!$C$3:$C$8,1)))</f>
        <v>No activa</v>
      </c>
      <c r="Y82" s="7" t="n">
        <f aca="false">IF(R82&lt;tablas!$C$3,0,INDEX(tablas!$D$3:$D$8,MATCH(R82,tablas!$C$3:$C$8,1)))*V82</f>
        <v>0</v>
      </c>
      <c r="Z82" s="4" t="str">
        <f aca="false">IF(S82&gt;=tablas!$C$3,"Activa",IF(S82&gt;=Parametros!$B$5,"Cerca","No activa"))</f>
        <v>No activa</v>
      </c>
      <c r="AA82" s="6" t="n">
        <f aca="false">MAX(0,tablas!$C$3-S82)</f>
        <v>0.769565217391304</v>
      </c>
    </row>
    <row r="83" customFormat="false" ht="15" hidden="false" customHeight="false" outlineLevel="0" collapsed="false">
      <c r="A83" s="14" t="str">
        <f aca="false">base!A83</f>
        <v>43130010-4</v>
      </c>
      <c r="B83" s="14" t="str">
        <f aca="false">base!E83</f>
        <v>ReiNew</v>
      </c>
      <c r="C83" s="14" t="str">
        <f aca="false">base!D83</f>
        <v>Especializado</v>
      </c>
      <c r="D83" s="14" t="str">
        <f aca="false">base!F83</f>
        <v>GIANFRANCO ZAIRA BRIONES</v>
      </c>
      <c r="E83" s="14" t="str">
        <f aca="false">base!G83</f>
        <v>SINDY ZAMBRANO SOTERO</v>
      </c>
      <c r="F83" s="14" t="n">
        <f aca="false">N(base!O83)</f>
        <v>1</v>
      </c>
      <c r="G83" s="4" t="n">
        <f aca="false">SUM(base!U83:AF83)+N(base!AK83)</f>
        <v>1</v>
      </c>
      <c r="H83" s="14" t="n">
        <f aca="false">N(base!S83)</f>
        <v>23</v>
      </c>
      <c r="I83" s="6" t="n">
        <f aca="false">IFERROR(G83/H83,0)</f>
        <v>0.0434782608695652</v>
      </c>
      <c r="J83" s="4" t="n">
        <f aca="false">SUM(base!AG83:AJ83)</f>
        <v>0</v>
      </c>
      <c r="K83" s="5" t="n">
        <f aca="false">IFERROR((base!AG83+base!AH83)/(base!K83+base!L83),0)</f>
        <v>0</v>
      </c>
      <c r="L83" s="5" t="n">
        <f aca="false">MAX(N(base!AI83),K83*N(base!M83))</f>
        <v>0</v>
      </c>
      <c r="M83" s="5" t="n">
        <f aca="false">MAX(N(base!AJ83),K83*N(base!N83))</f>
        <v>0</v>
      </c>
      <c r="N83" s="5" t="n">
        <f aca="false">base!AG83+base!AH83+L83+M83</f>
        <v>0</v>
      </c>
      <c r="O83" s="14" t="n">
        <f aca="false">N(base!T83)</f>
        <v>11</v>
      </c>
      <c r="P83" s="6" t="n">
        <f aca="false">IFERROR(J83/O83,0)</f>
        <v>0</v>
      </c>
      <c r="Q83" s="6" t="n">
        <f aca="false">IFERROR(N83/O83,0)</f>
        <v>0</v>
      </c>
      <c r="R83" s="6" t="n">
        <f aca="false">Parametros!$B$3*I83+Parametros!$B$4*P83</f>
        <v>0.0304347826086957</v>
      </c>
      <c r="S83" s="6" t="n">
        <f aca="false">Parametros!$B$3*I83+Parametros!$B$4*Q83</f>
        <v>0.0304347826086957</v>
      </c>
      <c r="T83" s="4" t="str">
        <f aca="false">IF(S83&lt;tablas!$C$3,"No activa",INDEX(tablas!$B$3:$B$8,MATCH(S83,tablas!$C$3:$C$8,1)))</f>
        <v>No activa</v>
      </c>
      <c r="U83" s="15" t="n">
        <f aca="false">IF(S83&lt;tablas!$C$3,0,INDEX(tablas!$D$3:$D$8,MATCH(S83,tablas!$C$3:$C$8,1)))</f>
        <v>0</v>
      </c>
      <c r="V83" s="16" t="n">
        <f aca="false">N(base!AQ83)</f>
        <v>1200</v>
      </c>
      <c r="W83" s="7" t="n">
        <f aca="false">U83*V83</f>
        <v>0</v>
      </c>
      <c r="X83" s="4" t="str">
        <f aca="false">IF(R83&lt;tablas!$C$3,"No activa",INDEX(tablas!$B$3:$B$8,MATCH(R83,tablas!$C$3:$C$8,1)))</f>
        <v>No activa</v>
      </c>
      <c r="Y83" s="7" t="n">
        <f aca="false">IF(R83&lt;tablas!$C$3,0,INDEX(tablas!$D$3:$D$8,MATCH(R83,tablas!$C$3:$C$8,1)))*V83</f>
        <v>0</v>
      </c>
      <c r="Z83" s="4" t="str">
        <f aca="false">IF(S83&gt;=tablas!$C$3,"Activa",IF(S83&gt;=Parametros!$B$5,"Cerca","No activa"))</f>
        <v>No activa</v>
      </c>
      <c r="AA83" s="6" t="n">
        <f aca="false">MAX(0,tablas!$C$3-S83)</f>
        <v>0.769565217391304</v>
      </c>
    </row>
    <row r="84" customFormat="false" ht="15" hidden="false" customHeight="false" outlineLevel="0" collapsed="false">
      <c r="A84" s="14" t="str">
        <f aca="false">base!A84</f>
        <v>76526867-8</v>
      </c>
      <c r="B84" s="14" t="str">
        <f aca="false">base!E84</f>
        <v>ReiNew</v>
      </c>
      <c r="C84" s="14" t="str">
        <f aca="false">base!D84</f>
        <v>Especializado</v>
      </c>
      <c r="D84" s="14" t="str">
        <f aca="false">base!F84</f>
        <v>GIANFRANCO ZAIRA BRIONES</v>
      </c>
      <c r="E84" s="14" t="str">
        <f aca="false">base!G84</f>
        <v>SINDY ZAMBRANO SOTERO</v>
      </c>
      <c r="F84" s="14" t="n">
        <f aca="false">N(base!O84)</f>
        <v>1</v>
      </c>
      <c r="G84" s="4" t="n">
        <f aca="false">SUM(base!U84:AF84)+N(base!AK84)</f>
        <v>0</v>
      </c>
      <c r="H84" s="14" t="n">
        <f aca="false">N(base!S84)</f>
        <v>23</v>
      </c>
      <c r="I84" s="6" t="n">
        <f aca="false">IFERROR(G84/H84,0)</f>
        <v>0</v>
      </c>
      <c r="J84" s="4" t="n">
        <f aca="false">SUM(base!AG84:AJ84)</f>
        <v>0</v>
      </c>
      <c r="K84" s="5" t="n">
        <f aca="false">IFERROR((base!AG84+base!AH84)/(base!K84+base!L84),0)</f>
        <v>0</v>
      </c>
      <c r="L84" s="5" t="n">
        <f aca="false">MAX(N(base!AI84),K84*N(base!M84))</f>
        <v>0</v>
      </c>
      <c r="M84" s="5" t="n">
        <f aca="false">MAX(N(base!AJ84),K84*N(base!N84))</f>
        <v>0</v>
      </c>
      <c r="N84" s="5" t="n">
        <f aca="false">base!AG84+base!AH84+L84+M84</f>
        <v>0</v>
      </c>
      <c r="O84" s="14" t="n">
        <f aca="false">N(base!T84)</f>
        <v>11</v>
      </c>
      <c r="P84" s="6" t="n">
        <f aca="false">IFERROR(J84/O84,0)</f>
        <v>0</v>
      </c>
      <c r="Q84" s="6" t="n">
        <f aca="false">IFERROR(N84/O84,0)</f>
        <v>0</v>
      </c>
      <c r="R84" s="6" t="n">
        <f aca="false">Parametros!$B$3*I84+Parametros!$B$4*P84</f>
        <v>0</v>
      </c>
      <c r="S84" s="6" t="n">
        <f aca="false">Parametros!$B$3*I84+Parametros!$B$4*Q84</f>
        <v>0</v>
      </c>
      <c r="T84" s="4" t="str">
        <f aca="false">IF(S84&lt;tablas!$C$3,"No activa",INDEX(tablas!$B$3:$B$8,MATCH(S84,tablas!$C$3:$C$8,1)))</f>
        <v>No activa</v>
      </c>
      <c r="U84" s="15" t="n">
        <f aca="false">IF(S84&lt;tablas!$C$3,0,INDEX(tablas!$D$3:$D$8,MATCH(S84,tablas!$C$3:$C$8,1)))</f>
        <v>0</v>
      </c>
      <c r="V84" s="16" t="n">
        <f aca="false">N(base!AQ84)</f>
        <v>1200</v>
      </c>
      <c r="W84" s="7" t="n">
        <f aca="false">U84*V84</f>
        <v>0</v>
      </c>
      <c r="X84" s="4" t="str">
        <f aca="false">IF(R84&lt;tablas!$C$3,"No activa",INDEX(tablas!$B$3:$B$8,MATCH(R84,tablas!$C$3:$C$8,1)))</f>
        <v>No activa</v>
      </c>
      <c r="Y84" s="7" t="n">
        <f aca="false">IF(R84&lt;tablas!$C$3,0,INDEX(tablas!$D$3:$D$8,MATCH(R84,tablas!$C$3:$C$8,1)))*V84</f>
        <v>0</v>
      </c>
      <c r="Z84" s="4" t="str">
        <f aca="false">IF(S84&gt;=tablas!$C$3,"Activa",IF(S84&gt;=Parametros!$B$5,"Cerca","No activa"))</f>
        <v>No activa</v>
      </c>
      <c r="AA84" s="6" t="n">
        <f aca="false">MAX(0,tablas!$C$3-S84)</f>
        <v>0.8</v>
      </c>
    </row>
    <row r="85" customFormat="false" ht="15" hidden="false" customHeight="false" outlineLevel="0" collapsed="false">
      <c r="A85" s="14" t="str">
        <f aca="false">base!A85</f>
        <v>48426447-9</v>
      </c>
      <c r="B85" s="14" t="str">
        <f aca="false">base!E85</f>
        <v>Outbound Regular</v>
      </c>
      <c r="C85" s="14" t="str">
        <f aca="false">base!D85</f>
        <v>Outbound</v>
      </c>
      <c r="D85" s="14" t="str">
        <f aca="false">base!F85</f>
        <v>GRECIA LANDIVAR PEREZ</v>
      </c>
      <c r="E85" s="14" t="str">
        <f aca="false">base!G85</f>
        <v>ROMULO CHAVEZ ACOSTA</v>
      </c>
      <c r="F85" s="14" t="n">
        <f aca="false">N(base!O85)</f>
        <v>1</v>
      </c>
      <c r="G85" s="4" t="n">
        <f aca="false">SUM(base!U85:AF85)+N(base!AK85)</f>
        <v>3</v>
      </c>
      <c r="H85" s="14" t="n">
        <f aca="false">N(base!S85)</f>
        <v>5</v>
      </c>
      <c r="I85" s="6" t="n">
        <f aca="false">IFERROR(G85/H85,0)</f>
        <v>0.6</v>
      </c>
      <c r="J85" s="4" t="n">
        <f aca="false">SUM(base!AG85:AJ85)</f>
        <v>3</v>
      </c>
      <c r="K85" s="5" t="n">
        <f aca="false">IFERROR((base!AG85+base!AH85)/(base!K85+base!L85),0)</f>
        <v>1</v>
      </c>
      <c r="L85" s="5" t="n">
        <f aca="false">MAX(N(base!AI85),K85*N(base!M85))</f>
        <v>1</v>
      </c>
      <c r="M85" s="5" t="n">
        <f aca="false">MAX(N(base!AJ85),K85*N(base!N85))</f>
        <v>1</v>
      </c>
      <c r="N85" s="5" t="n">
        <f aca="false">base!AG85+base!AH85+L85+M85</f>
        <v>4</v>
      </c>
      <c r="O85" s="14" t="n">
        <f aca="false">N(base!T85)</f>
        <v>3</v>
      </c>
      <c r="P85" s="6" t="n">
        <f aca="false">IFERROR(J85/O85,0)</f>
        <v>1</v>
      </c>
      <c r="Q85" s="6" t="n">
        <f aca="false">IFERROR(N85/O85,0)</f>
        <v>1.33333333333333</v>
      </c>
      <c r="R85" s="6" t="n">
        <f aca="false">Parametros!$B$3*I85+Parametros!$B$4*P85</f>
        <v>0.72</v>
      </c>
      <c r="S85" s="6" t="n">
        <f aca="false">Parametros!$B$3*I85+Parametros!$B$4*Q85</f>
        <v>0.82</v>
      </c>
      <c r="T85" s="4" t="str">
        <f aca="false">IF(S85&lt;tablas!$C$3,"No activa",INDEX(tablas!$B$3:$B$8,MATCH(S85,tablas!$C$3:$C$8,1)))</f>
        <v>N1</v>
      </c>
      <c r="U85" s="15" t="n">
        <f aca="false">IF(S85&lt;tablas!$C$3,0,INDEX(tablas!$D$3:$D$8,MATCH(S85,tablas!$C$3:$C$8,1)))</f>
        <v>0.3</v>
      </c>
      <c r="V85" s="16" t="n">
        <f aca="false">N(base!AQ85)</f>
        <v>1200</v>
      </c>
      <c r="W85" s="7" t="n">
        <f aca="false">U85*V85</f>
        <v>360</v>
      </c>
      <c r="X85" s="4" t="str">
        <f aca="false">IF(R85&lt;tablas!$C$3,"No activa",INDEX(tablas!$B$3:$B$8,MATCH(R85,tablas!$C$3:$C$8,1)))</f>
        <v>No activa</v>
      </c>
      <c r="Y85" s="7" t="n">
        <f aca="false">IF(R85&lt;tablas!$C$3,0,INDEX(tablas!$D$3:$D$8,MATCH(R85,tablas!$C$3:$C$8,1)))*V85</f>
        <v>0</v>
      </c>
      <c r="Z85" s="4" t="str">
        <f aca="false">IF(S85&gt;=tablas!$C$3,"Activa",IF(S85&gt;=Parametros!$B$5,"Cerca","No activa"))</f>
        <v>Activa</v>
      </c>
      <c r="AA85" s="6" t="n">
        <f aca="false">MAX(0,tablas!$C$3-S85)</f>
        <v>0</v>
      </c>
    </row>
    <row r="86" customFormat="false" ht="15" hidden="false" customHeight="false" outlineLevel="0" collapsed="false">
      <c r="A86" s="14" t="str">
        <f aca="false">base!A86</f>
        <v>71267989-7</v>
      </c>
      <c r="B86" s="14" t="str">
        <f aca="false">base!E86</f>
        <v>Outbound Regular</v>
      </c>
      <c r="C86" s="14" t="str">
        <f aca="false">base!D86</f>
        <v>Outbound</v>
      </c>
      <c r="D86" s="14" t="str">
        <f aca="false">base!F86</f>
        <v>GRECIA LANDIVAR PEREZ</v>
      </c>
      <c r="E86" s="14" t="str">
        <f aca="false">base!G86</f>
        <v>ROMULO CHAVEZ ACOSTA</v>
      </c>
      <c r="F86" s="14" t="n">
        <f aca="false">N(base!O86)</f>
        <v>1</v>
      </c>
      <c r="G86" s="4" t="n">
        <f aca="false">SUM(base!U86:AF86)+N(base!AK86)</f>
        <v>0</v>
      </c>
      <c r="H86" s="14" t="n">
        <f aca="false">N(base!S86)</f>
        <v>5</v>
      </c>
      <c r="I86" s="6" t="n">
        <f aca="false">IFERROR(G86/H86,0)</f>
        <v>0</v>
      </c>
      <c r="J86" s="4" t="n">
        <f aca="false">SUM(base!AG86:AJ86)</f>
        <v>0</v>
      </c>
      <c r="K86" s="5" t="n">
        <f aca="false">IFERROR((base!AG86+base!AH86)/(base!K86+base!L86),0)</f>
        <v>0</v>
      </c>
      <c r="L86" s="5" t="n">
        <f aca="false">MAX(N(base!AI86),K86*N(base!M86))</f>
        <v>0</v>
      </c>
      <c r="M86" s="5" t="n">
        <f aca="false">MAX(N(base!AJ86),K86*N(base!N86))</f>
        <v>0</v>
      </c>
      <c r="N86" s="5" t="n">
        <f aca="false">base!AG86+base!AH86+L86+M86</f>
        <v>0</v>
      </c>
      <c r="O86" s="14" t="n">
        <f aca="false">N(base!T86)</f>
        <v>2</v>
      </c>
      <c r="P86" s="6" t="n">
        <f aca="false">IFERROR(J86/O86,0)</f>
        <v>0</v>
      </c>
      <c r="Q86" s="6" t="n">
        <f aca="false">IFERROR(N86/O86,0)</f>
        <v>0</v>
      </c>
      <c r="R86" s="6" t="n">
        <f aca="false">Parametros!$B$3*I86+Parametros!$B$4*P86</f>
        <v>0</v>
      </c>
      <c r="S86" s="6" t="n">
        <f aca="false">Parametros!$B$3*I86+Parametros!$B$4*Q86</f>
        <v>0</v>
      </c>
      <c r="T86" s="4" t="str">
        <f aca="false">IF(S86&lt;tablas!$C$3,"No activa",INDEX(tablas!$B$3:$B$8,MATCH(S86,tablas!$C$3:$C$8,1)))</f>
        <v>No activa</v>
      </c>
      <c r="U86" s="15" t="n">
        <f aca="false">IF(S86&lt;tablas!$C$3,0,INDEX(tablas!$D$3:$D$8,MATCH(S86,tablas!$C$3:$C$8,1)))</f>
        <v>0</v>
      </c>
      <c r="V86" s="16" t="n">
        <f aca="false">N(base!AQ86)</f>
        <v>1200</v>
      </c>
      <c r="W86" s="7" t="n">
        <f aca="false">U86*V86</f>
        <v>0</v>
      </c>
      <c r="X86" s="4" t="str">
        <f aca="false">IF(R86&lt;tablas!$C$3,"No activa",INDEX(tablas!$B$3:$B$8,MATCH(R86,tablas!$C$3:$C$8,1)))</f>
        <v>No activa</v>
      </c>
      <c r="Y86" s="7" t="n">
        <f aca="false">IF(R86&lt;tablas!$C$3,0,INDEX(tablas!$D$3:$D$8,MATCH(R86,tablas!$C$3:$C$8,1)))*V86</f>
        <v>0</v>
      </c>
      <c r="Z86" s="4" t="str">
        <f aca="false">IF(S86&gt;=tablas!$C$3,"Activa",IF(S86&gt;=Parametros!$B$5,"Cerca","No activa"))</f>
        <v>No activa</v>
      </c>
      <c r="AA86" s="6" t="n">
        <f aca="false">MAX(0,tablas!$C$3-S86)</f>
        <v>0.8</v>
      </c>
    </row>
    <row r="87" customFormat="false" ht="15" hidden="false" customHeight="false" outlineLevel="0" collapsed="false">
      <c r="A87" s="14" t="str">
        <f aca="false">base!A87</f>
        <v>70559083-0</v>
      </c>
      <c r="B87" s="14" t="str">
        <f aca="false">base!E87</f>
        <v>Outbound Regular</v>
      </c>
      <c r="C87" s="14" t="str">
        <f aca="false">base!D87</f>
        <v>Outbound</v>
      </c>
      <c r="D87" s="14" t="str">
        <f aca="false">base!F87</f>
        <v>GRECIA LANDIVAR PEREZ</v>
      </c>
      <c r="E87" s="14" t="str">
        <f aca="false">base!G87</f>
        <v>ROMULO CHAVEZ ACOSTA</v>
      </c>
      <c r="F87" s="14" t="n">
        <f aca="false">N(base!O87)</f>
        <v>0.409090909090909</v>
      </c>
      <c r="G87" s="4" t="n">
        <f aca="false">SUM(base!U87:AF87)+N(base!AK87)</f>
        <v>0</v>
      </c>
      <c r="H87" s="14" t="n">
        <f aca="false">N(base!S87)</f>
        <v>2</v>
      </c>
      <c r="I87" s="6" t="n">
        <f aca="false">IFERROR(G87/H87,0)</f>
        <v>0</v>
      </c>
      <c r="J87" s="4" t="n">
        <f aca="false">SUM(base!AG87:AJ87)</f>
        <v>0</v>
      </c>
      <c r="K87" s="5" t="n">
        <f aca="false">IFERROR((base!AG87+base!AH87)/(base!K87+base!L87),0)</f>
        <v>0</v>
      </c>
      <c r="L87" s="5" t="n">
        <f aca="false">MAX(N(base!AI87),K87*N(base!M87))</f>
        <v>0</v>
      </c>
      <c r="M87" s="5" t="n">
        <f aca="false">MAX(N(base!AJ87),K87*N(base!N87))</f>
        <v>0</v>
      </c>
      <c r="N87" s="5" t="n">
        <f aca="false">base!AG87+base!AH87+L87+M87</f>
        <v>0</v>
      </c>
      <c r="O87" s="14" t="n">
        <f aca="false">N(base!T87)</f>
        <v>1</v>
      </c>
      <c r="P87" s="6" t="n">
        <f aca="false">IFERROR(J87/O87,0)</f>
        <v>0</v>
      </c>
      <c r="Q87" s="6" t="n">
        <f aca="false">IFERROR(N87/O87,0)</f>
        <v>0</v>
      </c>
      <c r="R87" s="6" t="n">
        <f aca="false">Parametros!$B$3*I87+Parametros!$B$4*P87</f>
        <v>0</v>
      </c>
      <c r="S87" s="6" t="n">
        <f aca="false">Parametros!$B$3*I87+Parametros!$B$4*Q87</f>
        <v>0</v>
      </c>
      <c r="T87" s="4" t="str">
        <f aca="false">IF(S87&lt;tablas!$C$3,"No activa",INDEX(tablas!$B$3:$B$8,MATCH(S87,tablas!$C$3:$C$8,1)))</f>
        <v>No activa</v>
      </c>
      <c r="U87" s="15" t="n">
        <f aca="false">IF(S87&lt;tablas!$C$3,0,INDEX(tablas!$D$3:$D$8,MATCH(S87,tablas!$C$3:$C$8,1)))</f>
        <v>0</v>
      </c>
      <c r="V87" s="16" t="n">
        <f aca="false">N(base!AQ87)</f>
        <v>491</v>
      </c>
      <c r="W87" s="7" t="n">
        <f aca="false">U87*V87</f>
        <v>0</v>
      </c>
      <c r="X87" s="4" t="str">
        <f aca="false">IF(R87&lt;tablas!$C$3,"No activa",INDEX(tablas!$B$3:$B$8,MATCH(R87,tablas!$C$3:$C$8,1)))</f>
        <v>No activa</v>
      </c>
      <c r="Y87" s="7" t="n">
        <f aca="false">IF(R87&lt;tablas!$C$3,0,INDEX(tablas!$D$3:$D$8,MATCH(R87,tablas!$C$3:$C$8,1)))*V87</f>
        <v>0</v>
      </c>
      <c r="Z87" s="4" t="str">
        <f aca="false">IF(S87&gt;=tablas!$C$3,"Activa",IF(S87&gt;=Parametros!$B$5,"Cerca","No activa"))</f>
        <v>No activa</v>
      </c>
      <c r="AA87" s="6" t="n">
        <f aca="false">MAX(0,tablas!$C$3-S87)</f>
        <v>0.8</v>
      </c>
    </row>
    <row r="88" customFormat="false" ht="15" hidden="false" customHeight="false" outlineLevel="0" collapsed="false">
      <c r="A88" s="14" t="str">
        <f aca="false">base!A88</f>
        <v>76454950-9</v>
      </c>
      <c r="B88" s="14" t="str">
        <f aca="false">base!E88</f>
        <v>Outbound Regular</v>
      </c>
      <c r="C88" s="14" t="str">
        <f aca="false">base!D88</f>
        <v>Outbound</v>
      </c>
      <c r="D88" s="14" t="str">
        <f aca="false">base!F88</f>
        <v>GRETA VARGAS ESCOBEDO</v>
      </c>
      <c r="E88" s="14" t="str">
        <f aca="false">base!G88</f>
        <v>ROMULO CHAVEZ ACOSTA</v>
      </c>
      <c r="F88" s="14" t="n">
        <f aca="false">N(base!O88)</f>
        <v>1</v>
      </c>
      <c r="G88" s="4" t="n">
        <f aca="false">SUM(base!U88:AF88)+N(base!AK88)</f>
        <v>0</v>
      </c>
      <c r="H88" s="14" t="n">
        <f aca="false">N(base!S88)</f>
        <v>5</v>
      </c>
      <c r="I88" s="6" t="n">
        <f aca="false">IFERROR(G88/H88,0)</f>
        <v>0</v>
      </c>
      <c r="J88" s="4" t="n">
        <f aca="false">SUM(base!AG88:AJ88)</f>
        <v>0</v>
      </c>
      <c r="K88" s="5" t="n">
        <f aca="false">IFERROR((base!AG88+base!AH88)/(base!K88+base!L88),0)</f>
        <v>0</v>
      </c>
      <c r="L88" s="5" t="n">
        <f aca="false">MAX(N(base!AI88),K88*N(base!M88))</f>
        <v>0</v>
      </c>
      <c r="M88" s="5" t="n">
        <f aca="false">MAX(N(base!AJ88),K88*N(base!N88))</f>
        <v>0</v>
      </c>
      <c r="N88" s="5" t="n">
        <f aca="false">base!AG88+base!AH88+L88+M88</f>
        <v>0</v>
      </c>
      <c r="O88" s="14" t="n">
        <f aca="false">N(base!T88)</f>
        <v>2</v>
      </c>
      <c r="P88" s="6" t="n">
        <f aca="false">IFERROR(J88/O88,0)</f>
        <v>0</v>
      </c>
      <c r="Q88" s="6" t="n">
        <f aca="false">IFERROR(N88/O88,0)</f>
        <v>0</v>
      </c>
      <c r="R88" s="6" t="n">
        <f aca="false">Parametros!$B$3*I88+Parametros!$B$4*P88</f>
        <v>0</v>
      </c>
      <c r="S88" s="6" t="n">
        <f aca="false">Parametros!$B$3*I88+Parametros!$B$4*Q88</f>
        <v>0</v>
      </c>
      <c r="T88" s="4" t="str">
        <f aca="false">IF(S88&lt;tablas!$C$3,"No activa",INDEX(tablas!$B$3:$B$8,MATCH(S88,tablas!$C$3:$C$8,1)))</f>
        <v>No activa</v>
      </c>
      <c r="U88" s="15" t="n">
        <f aca="false">IF(S88&lt;tablas!$C$3,0,INDEX(tablas!$D$3:$D$8,MATCH(S88,tablas!$C$3:$C$8,1)))</f>
        <v>0</v>
      </c>
      <c r="V88" s="16" t="n">
        <f aca="false">N(base!AQ88)</f>
        <v>1200</v>
      </c>
      <c r="W88" s="7" t="n">
        <f aca="false">U88*V88</f>
        <v>0</v>
      </c>
      <c r="X88" s="4" t="str">
        <f aca="false">IF(R88&lt;tablas!$C$3,"No activa",INDEX(tablas!$B$3:$B$8,MATCH(R88,tablas!$C$3:$C$8,1)))</f>
        <v>No activa</v>
      </c>
      <c r="Y88" s="7" t="n">
        <f aca="false">IF(R88&lt;tablas!$C$3,0,INDEX(tablas!$D$3:$D$8,MATCH(R88,tablas!$C$3:$C$8,1)))*V88</f>
        <v>0</v>
      </c>
      <c r="Z88" s="4" t="str">
        <f aca="false">IF(S88&gt;=tablas!$C$3,"Activa",IF(S88&gt;=Parametros!$B$5,"Cerca","No activa"))</f>
        <v>No activa</v>
      </c>
      <c r="AA88" s="6" t="n">
        <f aca="false">MAX(0,tablas!$C$3-S88)</f>
        <v>0.8</v>
      </c>
    </row>
    <row r="89" customFormat="false" ht="15" hidden="false" customHeight="false" outlineLevel="0" collapsed="false">
      <c r="A89" s="14" t="str">
        <f aca="false">base!A89</f>
        <v>42171670-1</v>
      </c>
      <c r="B89" s="14" t="str">
        <f aca="false">base!E89</f>
        <v>Outbound Regular</v>
      </c>
      <c r="C89" s="14" t="str">
        <f aca="false">base!D89</f>
        <v>Outbound</v>
      </c>
      <c r="D89" s="14" t="str">
        <f aca="false">base!F89</f>
        <v>GRETA VARGAS ESCOBEDO</v>
      </c>
      <c r="E89" s="14" t="str">
        <f aca="false">base!G89</f>
        <v>ROMULO CHAVEZ ACOSTA</v>
      </c>
      <c r="F89" s="14" t="n">
        <f aca="false">N(base!O89)</f>
        <v>1</v>
      </c>
      <c r="G89" s="4" t="n">
        <f aca="false">SUM(base!U89:AF89)+N(base!AK89)</f>
        <v>1</v>
      </c>
      <c r="H89" s="14" t="n">
        <f aca="false">N(base!S89)</f>
        <v>5</v>
      </c>
      <c r="I89" s="6" t="n">
        <f aca="false">IFERROR(G89/H89,0)</f>
        <v>0.2</v>
      </c>
      <c r="J89" s="4" t="n">
        <f aca="false">SUM(base!AG89:AJ89)</f>
        <v>0</v>
      </c>
      <c r="K89" s="5" t="n">
        <f aca="false">IFERROR((base!AG89+base!AH89)/(base!K89+base!L89),0)</f>
        <v>0</v>
      </c>
      <c r="L89" s="5" t="n">
        <f aca="false">MAX(N(base!AI89),K89*N(base!M89))</f>
        <v>0</v>
      </c>
      <c r="M89" s="5" t="n">
        <f aca="false">MAX(N(base!AJ89),K89*N(base!N89))</f>
        <v>0</v>
      </c>
      <c r="N89" s="5" t="n">
        <f aca="false">base!AG89+base!AH89+L89+M89</f>
        <v>0</v>
      </c>
      <c r="O89" s="14" t="n">
        <f aca="false">N(base!T89)</f>
        <v>2</v>
      </c>
      <c r="P89" s="6" t="n">
        <f aca="false">IFERROR(J89/O89,0)</f>
        <v>0</v>
      </c>
      <c r="Q89" s="6" t="n">
        <f aca="false">IFERROR(N89/O89,0)</f>
        <v>0</v>
      </c>
      <c r="R89" s="6" t="n">
        <f aca="false">Parametros!$B$3*I89+Parametros!$B$4*P89</f>
        <v>0.14</v>
      </c>
      <c r="S89" s="6" t="n">
        <f aca="false">Parametros!$B$3*I89+Parametros!$B$4*Q89</f>
        <v>0.14</v>
      </c>
      <c r="T89" s="4" t="str">
        <f aca="false">IF(S89&lt;tablas!$C$3,"No activa",INDEX(tablas!$B$3:$B$8,MATCH(S89,tablas!$C$3:$C$8,1)))</f>
        <v>No activa</v>
      </c>
      <c r="U89" s="15" t="n">
        <f aca="false">IF(S89&lt;tablas!$C$3,0,INDEX(tablas!$D$3:$D$8,MATCH(S89,tablas!$C$3:$C$8,1)))</f>
        <v>0</v>
      </c>
      <c r="V89" s="16" t="n">
        <f aca="false">N(base!AQ89)</f>
        <v>1200</v>
      </c>
      <c r="W89" s="7" t="n">
        <f aca="false">U89*V89</f>
        <v>0</v>
      </c>
      <c r="X89" s="4" t="str">
        <f aca="false">IF(R89&lt;tablas!$C$3,"No activa",INDEX(tablas!$B$3:$B$8,MATCH(R89,tablas!$C$3:$C$8,1)))</f>
        <v>No activa</v>
      </c>
      <c r="Y89" s="7" t="n">
        <f aca="false">IF(R89&lt;tablas!$C$3,0,INDEX(tablas!$D$3:$D$8,MATCH(R89,tablas!$C$3:$C$8,1)))*V89</f>
        <v>0</v>
      </c>
      <c r="Z89" s="4" t="str">
        <f aca="false">IF(S89&gt;=tablas!$C$3,"Activa",IF(S89&gt;=Parametros!$B$5,"Cerca","No activa"))</f>
        <v>No activa</v>
      </c>
      <c r="AA89" s="6" t="n">
        <f aca="false">MAX(0,tablas!$C$3-S89)</f>
        <v>0.66</v>
      </c>
    </row>
    <row r="90" customFormat="false" ht="15" hidden="false" customHeight="false" outlineLevel="0" collapsed="false">
      <c r="A90" s="14" t="str">
        <f aca="false">base!A90</f>
        <v>76316344-5</v>
      </c>
      <c r="B90" s="14" t="str">
        <f aca="false">base!E90</f>
        <v>Outbound Regular</v>
      </c>
      <c r="C90" s="14" t="str">
        <f aca="false">base!D90</f>
        <v>Outbound</v>
      </c>
      <c r="D90" s="14" t="str">
        <f aca="false">base!F90</f>
        <v>GRETA VARGAS ESCOBEDO</v>
      </c>
      <c r="E90" s="14" t="str">
        <f aca="false">base!G90</f>
        <v>ROMULO CHAVEZ ACOSTA</v>
      </c>
      <c r="F90" s="14" t="n">
        <f aca="false">N(base!O90)</f>
        <v>1</v>
      </c>
      <c r="G90" s="4" t="n">
        <f aca="false">SUM(base!U90:AF90)+N(base!AK90)</f>
        <v>0</v>
      </c>
      <c r="H90" s="14" t="n">
        <f aca="false">N(base!S90)</f>
        <v>5</v>
      </c>
      <c r="I90" s="6" t="n">
        <f aca="false">IFERROR(G90/H90,0)</f>
        <v>0</v>
      </c>
      <c r="J90" s="4" t="n">
        <f aca="false">SUM(base!AG90:AJ90)</f>
        <v>4</v>
      </c>
      <c r="K90" s="5" t="n">
        <f aca="false">IFERROR((base!AG90+base!AH90)/(base!K90+base!L90),0)</f>
        <v>2</v>
      </c>
      <c r="L90" s="5" t="n">
        <f aca="false">MAX(N(base!AI90),K90*N(base!M90))</f>
        <v>2</v>
      </c>
      <c r="M90" s="5" t="n">
        <f aca="false">MAX(N(base!AJ90),K90*N(base!N90))</f>
        <v>2</v>
      </c>
      <c r="N90" s="5" t="n">
        <f aca="false">base!AG90+base!AH90+L90+M90</f>
        <v>8</v>
      </c>
      <c r="O90" s="14" t="n">
        <f aca="false">N(base!T90)</f>
        <v>4</v>
      </c>
      <c r="P90" s="6" t="n">
        <f aca="false">IFERROR(J90/O90,0)</f>
        <v>1</v>
      </c>
      <c r="Q90" s="6" t="n">
        <f aca="false">IFERROR(N90/O90,0)</f>
        <v>2</v>
      </c>
      <c r="R90" s="6" t="n">
        <f aca="false">Parametros!$B$3*I90+Parametros!$B$4*P90</f>
        <v>0.3</v>
      </c>
      <c r="S90" s="6" t="n">
        <f aca="false">Parametros!$B$3*I90+Parametros!$B$4*Q90</f>
        <v>0.6</v>
      </c>
      <c r="T90" s="4" t="str">
        <f aca="false">IF(S90&lt;tablas!$C$3,"No activa",INDEX(tablas!$B$3:$B$8,MATCH(S90,tablas!$C$3:$C$8,1)))</f>
        <v>No activa</v>
      </c>
      <c r="U90" s="15" t="n">
        <f aca="false">IF(S90&lt;tablas!$C$3,0,INDEX(tablas!$D$3:$D$8,MATCH(S90,tablas!$C$3:$C$8,1)))</f>
        <v>0</v>
      </c>
      <c r="V90" s="16" t="n">
        <f aca="false">N(base!AQ90)</f>
        <v>1200</v>
      </c>
      <c r="W90" s="7" t="n">
        <f aca="false">U90*V90</f>
        <v>0</v>
      </c>
      <c r="X90" s="4" t="str">
        <f aca="false">IF(R90&lt;tablas!$C$3,"No activa",INDEX(tablas!$B$3:$B$8,MATCH(R90,tablas!$C$3:$C$8,1)))</f>
        <v>No activa</v>
      </c>
      <c r="Y90" s="7" t="n">
        <f aca="false">IF(R90&lt;tablas!$C$3,0,INDEX(tablas!$D$3:$D$8,MATCH(R90,tablas!$C$3:$C$8,1)))*V90</f>
        <v>0</v>
      </c>
      <c r="Z90" s="4" t="str">
        <f aca="false">IF(S90&gt;=tablas!$C$3,"Activa",IF(S90&gt;=Parametros!$B$5,"Cerca","No activa"))</f>
        <v>No activa</v>
      </c>
      <c r="AA90" s="6" t="n">
        <f aca="false">MAX(0,tablas!$C$3-S90)</f>
        <v>0.2</v>
      </c>
    </row>
    <row r="91" customFormat="false" ht="15" hidden="false" customHeight="false" outlineLevel="0" collapsed="false">
      <c r="A91" s="14" t="str">
        <f aca="false">base!A91</f>
        <v>75011966-8</v>
      </c>
      <c r="B91" s="14" t="str">
        <f aca="false">base!E91</f>
        <v>Inbound Premium</v>
      </c>
      <c r="C91" s="14" t="str">
        <f aca="false">base!D91</f>
        <v>Inbound</v>
      </c>
      <c r="D91" s="14" t="str">
        <f aca="false">base!F91</f>
        <v>JESSICA CASTILLO PALOMINO</v>
      </c>
      <c r="E91" s="14" t="str">
        <f aca="false">base!G91</f>
        <v>KARLA SUERO PALOMINO</v>
      </c>
      <c r="F91" s="14" t="n">
        <f aca="false">N(base!O91)</f>
        <v>1</v>
      </c>
      <c r="G91" s="4" t="n">
        <f aca="false">SUM(base!U91:AF91)+N(base!AK91)</f>
        <v>4</v>
      </c>
      <c r="H91" s="14" t="n">
        <f aca="false">N(base!S91)</f>
        <v>16</v>
      </c>
      <c r="I91" s="6" t="n">
        <f aca="false">IFERROR(G91/H91,0)</f>
        <v>0.25</v>
      </c>
      <c r="J91" s="4" t="n">
        <f aca="false">SUM(base!AG91:AJ91)</f>
        <v>8</v>
      </c>
      <c r="K91" s="5" t="n">
        <f aca="false">IFERROR((base!AG91+base!AH91)/(base!K91+base!L91),0)</f>
        <v>3.5</v>
      </c>
      <c r="L91" s="5" t="n">
        <f aca="false">MAX(N(base!AI91),K91*N(base!M91))</f>
        <v>3.5</v>
      </c>
      <c r="M91" s="5" t="n">
        <f aca="false">MAX(N(base!AJ91),K91*N(base!N91))</f>
        <v>3.5</v>
      </c>
      <c r="N91" s="5" t="n">
        <f aca="false">base!AG91+base!AH91+L91+M91</f>
        <v>14</v>
      </c>
      <c r="O91" s="14" t="n">
        <f aca="false">N(base!T91)</f>
        <v>4</v>
      </c>
      <c r="P91" s="6" t="n">
        <f aca="false">IFERROR(J91/O91,0)</f>
        <v>2</v>
      </c>
      <c r="Q91" s="6" t="n">
        <f aca="false">IFERROR(N91/O91,0)</f>
        <v>3.5</v>
      </c>
      <c r="R91" s="6" t="n">
        <f aca="false">Parametros!$B$3*I91+Parametros!$B$4*P91</f>
        <v>0.775</v>
      </c>
      <c r="S91" s="6" t="n">
        <f aca="false">Parametros!$B$3*I91+Parametros!$B$4*Q91</f>
        <v>1.225</v>
      </c>
      <c r="T91" s="4" t="str">
        <f aca="false">IF(S91&lt;tablas!$C$3,"No activa",INDEX(tablas!$B$3:$B$8,MATCH(S91,tablas!$C$3:$C$8,1)))</f>
        <v>N5</v>
      </c>
      <c r="U91" s="15" t="n">
        <f aca="false">IF(S91&lt;tablas!$C$3,0,INDEX(tablas!$D$3:$D$8,MATCH(S91,tablas!$C$3:$C$8,1)))</f>
        <v>1.5</v>
      </c>
      <c r="V91" s="16" t="n">
        <f aca="false">N(base!AQ91)</f>
        <v>1200</v>
      </c>
      <c r="W91" s="7" t="n">
        <f aca="false">U91*V91</f>
        <v>1800</v>
      </c>
      <c r="X91" s="4" t="str">
        <f aca="false">IF(R91&lt;tablas!$C$3,"No activa",INDEX(tablas!$B$3:$B$8,MATCH(R91,tablas!$C$3:$C$8,1)))</f>
        <v>No activa</v>
      </c>
      <c r="Y91" s="7" t="n">
        <f aca="false">IF(R91&lt;tablas!$C$3,0,INDEX(tablas!$D$3:$D$8,MATCH(R91,tablas!$C$3:$C$8,1)))*V91</f>
        <v>0</v>
      </c>
      <c r="Z91" s="4" t="str">
        <f aca="false">IF(S91&gt;=tablas!$C$3,"Activa",IF(S91&gt;=Parametros!$B$5,"Cerca","No activa"))</f>
        <v>Activa</v>
      </c>
      <c r="AA91" s="6" t="n">
        <f aca="false">MAX(0,tablas!$C$3-S91)</f>
        <v>0</v>
      </c>
    </row>
    <row r="92" customFormat="false" ht="15" hidden="false" customHeight="false" outlineLevel="0" collapsed="false">
      <c r="A92" s="14" t="str">
        <f aca="false">base!A92</f>
        <v>48206398-1</v>
      </c>
      <c r="B92" s="14" t="str">
        <f aca="false">base!E92</f>
        <v>Inbound Premium</v>
      </c>
      <c r="C92" s="14" t="str">
        <f aca="false">base!D92</f>
        <v>Inbound</v>
      </c>
      <c r="D92" s="14" t="str">
        <f aca="false">base!F92</f>
        <v>JESSICA CASTILLO PALOMINO</v>
      </c>
      <c r="E92" s="14" t="str">
        <f aca="false">base!G92</f>
        <v>KARLA SUERO PALOMINO</v>
      </c>
      <c r="F92" s="14" t="n">
        <f aca="false">N(base!O92)</f>
        <v>1</v>
      </c>
      <c r="G92" s="4" t="n">
        <f aca="false">SUM(base!U92:AF92)+N(base!AK92)</f>
        <v>8</v>
      </c>
      <c r="H92" s="14" t="n">
        <f aca="false">N(base!S92)</f>
        <v>16</v>
      </c>
      <c r="I92" s="6" t="n">
        <f aca="false">IFERROR(G92/H92,0)</f>
        <v>0.5</v>
      </c>
      <c r="J92" s="4" t="n">
        <f aca="false">SUM(base!AG92:AJ92)</f>
        <v>13</v>
      </c>
      <c r="K92" s="5" t="n">
        <f aca="false">IFERROR((base!AG92+base!AH92)/(base!K92+base!L92),0)</f>
        <v>5</v>
      </c>
      <c r="L92" s="5" t="n">
        <f aca="false">MAX(N(base!AI92),K92*N(base!M92))</f>
        <v>5</v>
      </c>
      <c r="M92" s="5" t="n">
        <f aca="false">MAX(N(base!AJ92),K92*N(base!N92))</f>
        <v>5</v>
      </c>
      <c r="N92" s="5" t="n">
        <f aca="false">base!AG92+base!AH92+L92+M92</f>
        <v>20</v>
      </c>
      <c r="O92" s="14" t="n">
        <f aca="false">N(base!T92)</f>
        <v>6</v>
      </c>
      <c r="P92" s="6" t="n">
        <f aca="false">IFERROR(J92/O92,0)</f>
        <v>2.16666666666667</v>
      </c>
      <c r="Q92" s="6" t="n">
        <f aca="false">IFERROR(N92/O92,0)</f>
        <v>3.33333333333333</v>
      </c>
      <c r="R92" s="6" t="n">
        <f aca="false">Parametros!$B$3*I92+Parametros!$B$4*P92</f>
        <v>1</v>
      </c>
      <c r="S92" s="6" t="n">
        <f aca="false">Parametros!$B$3*I92+Parametros!$B$4*Q92</f>
        <v>1.35</v>
      </c>
      <c r="T92" s="4" t="str">
        <f aca="false">IF(S92&lt;tablas!$C$3,"No activa",INDEX(tablas!$B$3:$B$8,MATCH(S92,tablas!$C$3:$C$8,1)))</f>
        <v>N6</v>
      </c>
      <c r="U92" s="15" t="n">
        <f aca="false">IF(S92&lt;tablas!$C$3,0,INDEX(tablas!$D$3:$D$8,MATCH(S92,tablas!$C$3:$C$8,1)))</f>
        <v>2</v>
      </c>
      <c r="V92" s="16" t="n">
        <f aca="false">N(base!AQ92)</f>
        <v>1200</v>
      </c>
      <c r="W92" s="7" t="n">
        <f aca="false">U92*V92</f>
        <v>2400</v>
      </c>
      <c r="X92" s="4" t="str">
        <f aca="false">IF(R92&lt;tablas!$C$3,"No activa",INDEX(tablas!$B$3:$B$8,MATCH(R92,tablas!$C$3:$C$8,1)))</f>
        <v>N3</v>
      </c>
      <c r="Y92" s="7" t="n">
        <f aca="false">IF(R92&lt;tablas!$C$3,0,INDEX(tablas!$D$3:$D$8,MATCH(R92,tablas!$C$3:$C$8,1)))*V92</f>
        <v>1200</v>
      </c>
      <c r="Z92" s="4" t="str">
        <f aca="false">IF(S92&gt;=tablas!$C$3,"Activa",IF(S92&gt;=Parametros!$B$5,"Cerca","No activa"))</f>
        <v>Activa</v>
      </c>
      <c r="AA92" s="6" t="n">
        <f aca="false">MAX(0,tablas!$C$3-S92)</f>
        <v>0</v>
      </c>
    </row>
    <row r="93" customFormat="false" ht="15" hidden="false" customHeight="false" outlineLevel="0" collapsed="false">
      <c r="A93" s="14" t="str">
        <f aca="false">base!A93</f>
        <v>45097567-8</v>
      </c>
      <c r="B93" s="14" t="str">
        <f aca="false">base!E93</f>
        <v>Inbound Premium</v>
      </c>
      <c r="C93" s="14" t="str">
        <f aca="false">base!D93</f>
        <v>Inbound</v>
      </c>
      <c r="D93" s="14" t="str">
        <f aca="false">base!F93</f>
        <v>JESSICA CASTILLO PALOMINO</v>
      </c>
      <c r="E93" s="14" t="str">
        <f aca="false">base!G93</f>
        <v>KARLA SUERO PALOMINO</v>
      </c>
      <c r="F93" s="14" t="n">
        <f aca="false">N(base!O93)</f>
        <v>0.75</v>
      </c>
      <c r="G93" s="4" t="n">
        <f aca="false">SUM(base!U93:AF93)+N(base!AK93)</f>
        <v>5</v>
      </c>
      <c r="H93" s="14" t="n">
        <f aca="false">N(base!S93)</f>
        <v>12</v>
      </c>
      <c r="I93" s="6" t="n">
        <f aca="false">IFERROR(G93/H93,0)</f>
        <v>0.416666666666667</v>
      </c>
      <c r="J93" s="4" t="n">
        <f aca="false">SUM(base!AG93:AJ93)</f>
        <v>12</v>
      </c>
      <c r="K93" s="5" t="n">
        <f aca="false">IFERROR((base!AG93+base!AH93)/(base!K93+base!L93),0)</f>
        <v>5.5</v>
      </c>
      <c r="L93" s="5" t="n">
        <f aca="false">MAX(N(base!AI93),K93*N(base!M93))</f>
        <v>5.5</v>
      </c>
      <c r="M93" s="5" t="n">
        <f aca="false">MAX(N(base!AJ93),K93*N(base!N93))</f>
        <v>0</v>
      </c>
      <c r="N93" s="5" t="n">
        <f aca="false">base!AG93+base!AH93+L93+M93</f>
        <v>16.5</v>
      </c>
      <c r="O93" s="14" t="n">
        <f aca="false">N(base!T93)</f>
        <v>5</v>
      </c>
      <c r="P93" s="6" t="n">
        <f aca="false">IFERROR(J93/O93,0)</f>
        <v>2.4</v>
      </c>
      <c r="Q93" s="6" t="n">
        <f aca="false">IFERROR(N93/O93,0)</f>
        <v>3.3</v>
      </c>
      <c r="R93" s="6" t="n">
        <f aca="false">Parametros!$B$3*I93+Parametros!$B$4*P93</f>
        <v>1.01166666666667</v>
      </c>
      <c r="S93" s="6" t="n">
        <f aca="false">Parametros!$B$3*I93+Parametros!$B$4*Q93</f>
        <v>1.28166666666667</v>
      </c>
      <c r="T93" s="4" t="str">
        <f aca="false">IF(S93&lt;tablas!$C$3,"No activa",INDEX(tablas!$B$3:$B$8,MATCH(S93,tablas!$C$3:$C$8,1)))</f>
        <v>N5</v>
      </c>
      <c r="U93" s="15" t="n">
        <f aca="false">IF(S93&lt;tablas!$C$3,0,INDEX(tablas!$D$3:$D$8,MATCH(S93,tablas!$C$3:$C$8,1)))</f>
        <v>1.5</v>
      </c>
      <c r="V93" s="16" t="n">
        <f aca="false">N(base!AQ93)</f>
        <v>900</v>
      </c>
      <c r="W93" s="7" t="n">
        <f aca="false">U93*V93</f>
        <v>1350</v>
      </c>
      <c r="X93" s="4" t="str">
        <f aca="false">IF(R93&lt;tablas!$C$3,"No activa",INDEX(tablas!$B$3:$B$8,MATCH(R93,tablas!$C$3:$C$8,1)))</f>
        <v>N3</v>
      </c>
      <c r="Y93" s="7" t="n">
        <f aca="false">IF(R93&lt;tablas!$C$3,0,INDEX(tablas!$D$3:$D$8,MATCH(R93,tablas!$C$3:$C$8,1)))*V93</f>
        <v>900</v>
      </c>
      <c r="Z93" s="4" t="str">
        <f aca="false">IF(S93&gt;=tablas!$C$3,"Activa",IF(S93&gt;=Parametros!$B$5,"Cerca","No activa"))</f>
        <v>Activa</v>
      </c>
      <c r="AA93" s="6" t="n">
        <f aca="false">MAX(0,tablas!$C$3-S93)</f>
        <v>0</v>
      </c>
    </row>
    <row r="94" customFormat="false" ht="15" hidden="false" customHeight="false" outlineLevel="0" collapsed="false">
      <c r="A94" s="14" t="str">
        <f aca="false">base!A94</f>
        <v>70183775-0</v>
      </c>
      <c r="B94" s="14" t="str">
        <f aca="false">base!E94</f>
        <v>Inbound Premium</v>
      </c>
      <c r="C94" s="14" t="str">
        <f aca="false">base!D94</f>
        <v>Inbound</v>
      </c>
      <c r="D94" s="14" t="str">
        <f aca="false">base!F94</f>
        <v>SHEYLA SANTIAGO MARTEL</v>
      </c>
      <c r="E94" s="14" t="str">
        <f aca="false">base!G94</f>
        <v>KARLA SUERO PALOMINO</v>
      </c>
      <c r="F94" s="14" t="n">
        <f aca="false">N(base!O94)</f>
        <v>1</v>
      </c>
      <c r="G94" s="4" t="n">
        <f aca="false">SUM(base!U94:AF94)+N(base!AK94)</f>
        <v>9</v>
      </c>
      <c r="H94" s="14" t="n">
        <f aca="false">N(base!S94)</f>
        <v>16</v>
      </c>
      <c r="I94" s="6" t="n">
        <f aca="false">IFERROR(G94/H94,0)</f>
        <v>0.5625</v>
      </c>
      <c r="J94" s="4" t="n">
        <f aca="false">SUM(base!AG94:AJ94)</f>
        <v>2</v>
      </c>
      <c r="K94" s="5" t="n">
        <f aca="false">IFERROR((base!AG94+base!AH94)/(base!K94+base!L94),0)</f>
        <v>1</v>
      </c>
      <c r="L94" s="5" t="n">
        <f aca="false">MAX(N(base!AI94),K94*N(base!M94))</f>
        <v>1</v>
      </c>
      <c r="M94" s="5" t="n">
        <f aca="false">MAX(N(base!AJ94),K94*N(base!N94))</f>
        <v>1</v>
      </c>
      <c r="N94" s="5" t="n">
        <f aca="false">base!AG94+base!AH94+L94+M94</f>
        <v>4</v>
      </c>
      <c r="O94" s="14" t="n">
        <f aca="false">N(base!T94)</f>
        <v>6</v>
      </c>
      <c r="P94" s="6" t="n">
        <f aca="false">IFERROR(J94/O94,0)</f>
        <v>0.333333333333333</v>
      </c>
      <c r="Q94" s="6" t="n">
        <f aca="false">IFERROR(N94/O94,0)</f>
        <v>0.666666666666667</v>
      </c>
      <c r="R94" s="6" t="n">
        <f aca="false">Parametros!$B$3*I94+Parametros!$B$4*P94</f>
        <v>0.49375</v>
      </c>
      <c r="S94" s="6" t="n">
        <f aca="false">Parametros!$B$3*I94+Parametros!$B$4*Q94</f>
        <v>0.59375</v>
      </c>
      <c r="T94" s="4" t="str">
        <f aca="false">IF(S94&lt;tablas!$C$3,"No activa",INDEX(tablas!$B$3:$B$8,MATCH(S94,tablas!$C$3:$C$8,1)))</f>
        <v>No activa</v>
      </c>
      <c r="U94" s="15" t="n">
        <f aca="false">IF(S94&lt;tablas!$C$3,0,INDEX(tablas!$D$3:$D$8,MATCH(S94,tablas!$C$3:$C$8,1)))</f>
        <v>0</v>
      </c>
      <c r="V94" s="16" t="n">
        <f aca="false">N(base!AQ94)</f>
        <v>1200</v>
      </c>
      <c r="W94" s="7" t="n">
        <f aca="false">U94*V94</f>
        <v>0</v>
      </c>
      <c r="X94" s="4" t="str">
        <f aca="false">IF(R94&lt;tablas!$C$3,"No activa",INDEX(tablas!$B$3:$B$8,MATCH(R94,tablas!$C$3:$C$8,1)))</f>
        <v>No activa</v>
      </c>
      <c r="Y94" s="7" t="n">
        <f aca="false">IF(R94&lt;tablas!$C$3,0,INDEX(tablas!$D$3:$D$8,MATCH(R94,tablas!$C$3:$C$8,1)))*V94</f>
        <v>0</v>
      </c>
      <c r="Z94" s="4" t="str">
        <f aca="false">IF(S94&gt;=tablas!$C$3,"Activa",IF(S94&gt;=Parametros!$B$5,"Cerca","No activa"))</f>
        <v>No activa</v>
      </c>
      <c r="AA94" s="6" t="n">
        <f aca="false">MAX(0,tablas!$C$3-S94)</f>
        <v>0.20625</v>
      </c>
    </row>
    <row r="95" customFormat="false" ht="15" hidden="false" customHeight="false" outlineLevel="0" collapsed="false">
      <c r="A95" s="14" t="str">
        <f aca="false">base!A95</f>
        <v>70830003-4</v>
      </c>
      <c r="B95" s="14" t="str">
        <f aca="false">base!E95</f>
        <v>Inbound Premium</v>
      </c>
      <c r="C95" s="14" t="str">
        <f aca="false">base!D95</f>
        <v>Inbound</v>
      </c>
      <c r="D95" s="14" t="str">
        <f aca="false">base!F95</f>
        <v>JESSICA CASTILLO PALOMINO</v>
      </c>
      <c r="E95" s="14" t="str">
        <f aca="false">base!G95</f>
        <v>KARLA SUERO PALOMINO</v>
      </c>
      <c r="F95" s="14" t="n">
        <f aca="false">N(base!O95)</f>
        <v>1</v>
      </c>
      <c r="G95" s="4" t="n">
        <f aca="false">SUM(base!U95:AF95)+N(base!AK95)</f>
        <v>4</v>
      </c>
      <c r="H95" s="14" t="n">
        <f aca="false">N(base!S95)</f>
        <v>16</v>
      </c>
      <c r="I95" s="6" t="n">
        <f aca="false">IFERROR(G95/H95,0)</f>
        <v>0.25</v>
      </c>
      <c r="J95" s="4" t="n">
        <f aca="false">SUM(base!AG95:AJ95)</f>
        <v>4</v>
      </c>
      <c r="K95" s="5" t="n">
        <f aca="false">IFERROR((base!AG95+base!AH95)/(base!K95+base!L95),0)</f>
        <v>2</v>
      </c>
      <c r="L95" s="5" t="n">
        <f aca="false">MAX(N(base!AI95),K95*N(base!M95))</f>
        <v>2</v>
      </c>
      <c r="M95" s="5" t="n">
        <f aca="false">MAX(N(base!AJ95),K95*N(base!N95))</f>
        <v>2</v>
      </c>
      <c r="N95" s="5" t="n">
        <f aca="false">base!AG95+base!AH95+L95+M95</f>
        <v>8</v>
      </c>
      <c r="O95" s="14" t="n">
        <f aca="false">N(base!T95)</f>
        <v>4</v>
      </c>
      <c r="P95" s="6" t="n">
        <f aca="false">IFERROR(J95/O95,0)</f>
        <v>1</v>
      </c>
      <c r="Q95" s="6" t="n">
        <f aca="false">IFERROR(N95/O95,0)</f>
        <v>2</v>
      </c>
      <c r="R95" s="6" t="n">
        <f aca="false">Parametros!$B$3*I95+Parametros!$B$4*P95</f>
        <v>0.475</v>
      </c>
      <c r="S95" s="6" t="n">
        <f aca="false">Parametros!$B$3*I95+Parametros!$B$4*Q95</f>
        <v>0.775</v>
      </c>
      <c r="T95" s="4" t="str">
        <f aca="false">IF(S95&lt;tablas!$C$3,"No activa",INDEX(tablas!$B$3:$B$8,MATCH(S95,tablas!$C$3:$C$8,1)))</f>
        <v>No activa</v>
      </c>
      <c r="U95" s="15" t="n">
        <f aca="false">IF(S95&lt;tablas!$C$3,0,INDEX(tablas!$D$3:$D$8,MATCH(S95,tablas!$C$3:$C$8,1)))</f>
        <v>0</v>
      </c>
      <c r="V95" s="16" t="n">
        <f aca="false">N(base!AQ95)</f>
        <v>1200</v>
      </c>
      <c r="W95" s="7" t="n">
        <f aca="false">U95*V95</f>
        <v>0</v>
      </c>
      <c r="X95" s="4" t="str">
        <f aca="false">IF(R95&lt;tablas!$C$3,"No activa",INDEX(tablas!$B$3:$B$8,MATCH(R95,tablas!$C$3:$C$8,1)))</f>
        <v>No activa</v>
      </c>
      <c r="Y95" s="7" t="n">
        <f aca="false">IF(R95&lt;tablas!$C$3,0,INDEX(tablas!$D$3:$D$8,MATCH(R95,tablas!$C$3:$C$8,1)))*V95</f>
        <v>0</v>
      </c>
      <c r="Z95" s="4" t="str">
        <f aca="false">IF(S95&gt;=tablas!$C$3,"Activa",IF(S95&gt;=Parametros!$B$5,"Cerca","No activa"))</f>
        <v>Cerca</v>
      </c>
      <c r="AA95" s="6" t="n">
        <f aca="false">MAX(0,tablas!$C$3-S95)</f>
        <v>0.0250000000000001</v>
      </c>
    </row>
    <row r="96" customFormat="false" ht="15" hidden="false" customHeight="false" outlineLevel="0" collapsed="false">
      <c r="A96" s="14" t="str">
        <f aca="false">base!A96</f>
        <v>42937713-2</v>
      </c>
      <c r="B96" s="14" t="str">
        <f aca="false">base!E96</f>
        <v>Inbound Premium</v>
      </c>
      <c r="C96" s="14" t="str">
        <f aca="false">base!D96</f>
        <v>Inbound</v>
      </c>
      <c r="D96" s="14" t="str">
        <f aca="false">base!F96</f>
        <v>JESSICA CASTILLO PALOMINO</v>
      </c>
      <c r="E96" s="14" t="str">
        <f aca="false">base!G96</f>
        <v>KARLA SUERO PALOMINO</v>
      </c>
      <c r="F96" s="14" t="n">
        <f aca="false">N(base!O96)</f>
        <v>0.5</v>
      </c>
      <c r="G96" s="4" t="n">
        <f aca="false">SUM(base!U96:AF96)+N(base!AK96)</f>
        <v>7</v>
      </c>
      <c r="H96" s="14" t="n">
        <f aca="false">N(base!S96)</f>
        <v>8</v>
      </c>
      <c r="I96" s="6" t="n">
        <f aca="false">IFERROR(G96/H96,0)</f>
        <v>0.875</v>
      </c>
      <c r="J96" s="4" t="n">
        <f aca="false">SUM(base!AG96:AJ96)</f>
        <v>11</v>
      </c>
      <c r="K96" s="5" t="n">
        <f aca="false">IFERROR((base!AG96+base!AH96)/(base!K96+base!L96),0)</f>
        <v>5.5</v>
      </c>
      <c r="L96" s="5" t="n">
        <f aca="false">MAX(N(base!AI96),K96*N(base!M96))</f>
        <v>0</v>
      </c>
      <c r="M96" s="5" t="n">
        <f aca="false">MAX(N(base!AJ96),K96*N(base!N96))</f>
        <v>0</v>
      </c>
      <c r="N96" s="5" t="n">
        <f aca="false">base!AG96+base!AH96+L96+M96</f>
        <v>11</v>
      </c>
      <c r="O96" s="14" t="n">
        <f aca="false">N(base!T96)</f>
        <v>2</v>
      </c>
      <c r="P96" s="6" t="n">
        <f aca="false">IFERROR(J96/O96,0)</f>
        <v>5.5</v>
      </c>
      <c r="Q96" s="6" t="n">
        <f aca="false">IFERROR(N96/O96,0)</f>
        <v>5.5</v>
      </c>
      <c r="R96" s="6" t="n">
        <f aca="false">Parametros!$B$3*I96+Parametros!$B$4*P96</f>
        <v>2.2625</v>
      </c>
      <c r="S96" s="6" t="n">
        <f aca="false">Parametros!$B$3*I96+Parametros!$B$4*Q96</f>
        <v>2.2625</v>
      </c>
      <c r="T96" s="4" t="str">
        <f aca="false">IF(S96&lt;tablas!$C$3,"No activa",INDEX(tablas!$B$3:$B$8,MATCH(S96,tablas!$C$3:$C$8,1)))</f>
        <v>N6</v>
      </c>
      <c r="U96" s="15" t="n">
        <f aca="false">IF(S96&lt;tablas!$C$3,0,INDEX(tablas!$D$3:$D$8,MATCH(S96,tablas!$C$3:$C$8,1)))</f>
        <v>2</v>
      </c>
      <c r="V96" s="16" t="n">
        <f aca="false">N(base!AQ96)</f>
        <v>600</v>
      </c>
      <c r="W96" s="7" t="n">
        <f aca="false">U96*V96</f>
        <v>1200</v>
      </c>
      <c r="X96" s="4" t="str">
        <f aca="false">IF(R96&lt;tablas!$C$3,"No activa",INDEX(tablas!$B$3:$B$8,MATCH(R96,tablas!$C$3:$C$8,1)))</f>
        <v>N6</v>
      </c>
      <c r="Y96" s="7" t="n">
        <f aca="false">IF(R96&lt;tablas!$C$3,0,INDEX(tablas!$D$3:$D$8,MATCH(R96,tablas!$C$3:$C$8,1)))*V96</f>
        <v>1200</v>
      </c>
      <c r="Z96" s="4" t="str">
        <f aca="false">IF(S96&gt;=tablas!$C$3,"Activa",IF(S96&gt;=Parametros!$B$5,"Cerca","No activa"))</f>
        <v>Activa</v>
      </c>
      <c r="AA96" s="6" t="n">
        <f aca="false">MAX(0,tablas!$C$3-S96)</f>
        <v>0</v>
      </c>
    </row>
    <row r="97" customFormat="false" ht="15" hidden="false" customHeight="false" outlineLevel="0" collapsed="false">
      <c r="A97" s="14" t="str">
        <f aca="false">base!A97</f>
        <v>76366555-6</v>
      </c>
      <c r="B97" s="14" t="str">
        <f aca="false">base!E97</f>
        <v>Inbound Premium</v>
      </c>
      <c r="C97" s="14" t="str">
        <f aca="false">base!D97</f>
        <v>Inbound</v>
      </c>
      <c r="D97" s="14" t="str">
        <f aca="false">base!F97</f>
        <v>JESSICA CASTILLO PALOMINO</v>
      </c>
      <c r="E97" s="14" t="str">
        <f aca="false">base!G97</f>
        <v>KARLA SUERO PALOMINO</v>
      </c>
      <c r="F97" s="14" t="n">
        <f aca="false">N(base!O97)</f>
        <v>1</v>
      </c>
      <c r="G97" s="4" t="n">
        <f aca="false">SUM(base!U97:AF97)+N(base!AK97)</f>
        <v>20</v>
      </c>
      <c r="H97" s="14" t="n">
        <f aca="false">N(base!S97)</f>
        <v>16</v>
      </c>
      <c r="I97" s="6" t="n">
        <f aca="false">IFERROR(G97/H97,0)</f>
        <v>1.25</v>
      </c>
      <c r="J97" s="4" t="n">
        <f aca="false">SUM(base!AG97:AJ97)</f>
        <v>3</v>
      </c>
      <c r="K97" s="5" t="n">
        <f aca="false">IFERROR((base!AG97+base!AH97)/(base!K97+base!L97),0)</f>
        <v>1.5</v>
      </c>
      <c r="L97" s="5" t="n">
        <f aca="false">MAX(N(base!AI97),K97*N(base!M97))</f>
        <v>1.5</v>
      </c>
      <c r="M97" s="5" t="n">
        <f aca="false">MAX(N(base!AJ97),K97*N(base!N97))</f>
        <v>1.5</v>
      </c>
      <c r="N97" s="5" t="n">
        <f aca="false">base!AG97+base!AH97+L97+M97</f>
        <v>6</v>
      </c>
      <c r="O97" s="14" t="n">
        <f aca="false">N(base!T97)</f>
        <v>5</v>
      </c>
      <c r="P97" s="6" t="n">
        <f aca="false">IFERROR(J97/O97,0)</f>
        <v>0.6</v>
      </c>
      <c r="Q97" s="6" t="n">
        <f aca="false">IFERROR(N97/O97,0)</f>
        <v>1.2</v>
      </c>
      <c r="R97" s="6" t="n">
        <f aca="false">Parametros!$B$3*I97+Parametros!$B$4*P97</f>
        <v>1.055</v>
      </c>
      <c r="S97" s="6" t="n">
        <f aca="false">Parametros!$B$3*I97+Parametros!$B$4*Q97</f>
        <v>1.235</v>
      </c>
      <c r="T97" s="4" t="str">
        <f aca="false">IF(S97&lt;tablas!$C$3,"No activa",INDEX(tablas!$B$3:$B$8,MATCH(S97,tablas!$C$3:$C$8,1)))</f>
        <v>N5</v>
      </c>
      <c r="U97" s="15" t="n">
        <f aca="false">IF(S97&lt;tablas!$C$3,0,INDEX(tablas!$D$3:$D$8,MATCH(S97,tablas!$C$3:$C$8,1)))</f>
        <v>1.5</v>
      </c>
      <c r="V97" s="16" t="n">
        <f aca="false">N(base!AQ97)</f>
        <v>1200</v>
      </c>
      <c r="W97" s="7" t="n">
        <f aca="false">U97*V97</f>
        <v>1800</v>
      </c>
      <c r="X97" s="4" t="str">
        <f aca="false">IF(R97&lt;tablas!$C$3,"No activa",INDEX(tablas!$B$3:$B$8,MATCH(R97,tablas!$C$3:$C$8,1)))</f>
        <v>N3</v>
      </c>
      <c r="Y97" s="7" t="n">
        <f aca="false">IF(R97&lt;tablas!$C$3,0,INDEX(tablas!$D$3:$D$8,MATCH(R97,tablas!$C$3:$C$8,1)))*V97</f>
        <v>1200</v>
      </c>
      <c r="Z97" s="4" t="str">
        <f aca="false">IF(S97&gt;=tablas!$C$3,"Activa",IF(S97&gt;=Parametros!$B$5,"Cerca","No activa"))</f>
        <v>Activa</v>
      </c>
      <c r="AA97" s="6" t="n">
        <f aca="false">MAX(0,tablas!$C$3-S97)</f>
        <v>0</v>
      </c>
    </row>
    <row r="98" customFormat="false" ht="15" hidden="false" customHeight="false" outlineLevel="0" collapsed="false">
      <c r="A98" s="14" t="str">
        <f aca="false">base!A98</f>
        <v>75684383-0</v>
      </c>
      <c r="B98" s="14" t="str">
        <f aca="false">base!E98</f>
        <v>Inbound Premium</v>
      </c>
      <c r="C98" s="14" t="str">
        <f aca="false">base!D98</f>
        <v>Inbound</v>
      </c>
      <c r="D98" s="14" t="str">
        <f aca="false">base!F98</f>
        <v>JESSICA CASTILLO PALOMINO</v>
      </c>
      <c r="E98" s="14" t="str">
        <f aca="false">base!G98</f>
        <v>KARLA SUERO PALOMINO</v>
      </c>
      <c r="F98" s="14" t="n">
        <f aca="false">N(base!O98)</f>
        <v>1</v>
      </c>
      <c r="G98" s="4" t="n">
        <f aca="false">SUM(base!U98:AF98)+N(base!AK98)</f>
        <v>0</v>
      </c>
      <c r="H98" s="14" t="n">
        <f aca="false">N(base!S98)</f>
        <v>16</v>
      </c>
      <c r="I98" s="6" t="n">
        <f aca="false">IFERROR(G98/H98,0)</f>
        <v>0</v>
      </c>
      <c r="J98" s="4" t="n">
        <f aca="false">SUM(base!AG98:AJ98)</f>
        <v>4</v>
      </c>
      <c r="K98" s="5" t="n">
        <f aca="false">IFERROR((base!AG98+base!AH98)/(base!K98+base!L98),0)</f>
        <v>2</v>
      </c>
      <c r="L98" s="5" t="n">
        <f aca="false">MAX(N(base!AI98),K98*N(base!M98))</f>
        <v>2</v>
      </c>
      <c r="M98" s="5" t="n">
        <f aca="false">MAX(N(base!AJ98),K98*N(base!N98))</f>
        <v>2</v>
      </c>
      <c r="N98" s="5" t="n">
        <f aca="false">base!AG98+base!AH98+L98+M98</f>
        <v>8</v>
      </c>
      <c r="O98" s="14" t="n">
        <f aca="false">N(base!T98)</f>
        <v>6</v>
      </c>
      <c r="P98" s="6" t="n">
        <f aca="false">IFERROR(J98/O98,0)</f>
        <v>0.666666666666667</v>
      </c>
      <c r="Q98" s="6" t="n">
        <f aca="false">IFERROR(N98/O98,0)</f>
        <v>1.33333333333333</v>
      </c>
      <c r="R98" s="6" t="n">
        <f aca="false">Parametros!$B$3*I98+Parametros!$B$4*P98</f>
        <v>0.2</v>
      </c>
      <c r="S98" s="6" t="n">
        <f aca="false">Parametros!$B$3*I98+Parametros!$B$4*Q98</f>
        <v>0.4</v>
      </c>
      <c r="T98" s="4" t="str">
        <f aca="false">IF(S98&lt;tablas!$C$3,"No activa",INDEX(tablas!$B$3:$B$8,MATCH(S98,tablas!$C$3:$C$8,1)))</f>
        <v>No activa</v>
      </c>
      <c r="U98" s="15" t="n">
        <f aca="false">IF(S98&lt;tablas!$C$3,0,INDEX(tablas!$D$3:$D$8,MATCH(S98,tablas!$C$3:$C$8,1)))</f>
        <v>0</v>
      </c>
      <c r="V98" s="16" t="n">
        <f aca="false">N(base!AQ98)</f>
        <v>1200</v>
      </c>
      <c r="W98" s="7" t="n">
        <f aca="false">U98*V98</f>
        <v>0</v>
      </c>
      <c r="X98" s="4" t="str">
        <f aca="false">IF(R98&lt;tablas!$C$3,"No activa",INDEX(tablas!$B$3:$B$8,MATCH(R98,tablas!$C$3:$C$8,1)))</f>
        <v>No activa</v>
      </c>
      <c r="Y98" s="7" t="n">
        <f aca="false">IF(R98&lt;tablas!$C$3,0,INDEX(tablas!$D$3:$D$8,MATCH(R98,tablas!$C$3:$C$8,1)))*V98</f>
        <v>0</v>
      </c>
      <c r="Z98" s="4" t="str">
        <f aca="false">IF(S98&gt;=tablas!$C$3,"Activa",IF(S98&gt;=Parametros!$B$5,"Cerca","No activa"))</f>
        <v>No activa</v>
      </c>
      <c r="AA98" s="6" t="n">
        <f aca="false">MAX(0,tablas!$C$3-S98)</f>
        <v>0.4</v>
      </c>
    </row>
    <row r="99" customFormat="false" ht="15" hidden="false" customHeight="false" outlineLevel="0" collapsed="false">
      <c r="A99" s="14" t="str">
        <f aca="false">base!A99</f>
        <v>71741287-2</v>
      </c>
      <c r="B99" s="14" t="str">
        <f aca="false">base!E99</f>
        <v>Inbound Premium</v>
      </c>
      <c r="C99" s="14" t="str">
        <f aca="false">base!D99</f>
        <v>Inbound</v>
      </c>
      <c r="D99" s="14" t="str">
        <f aca="false">base!F99</f>
        <v>JESSICA CASTILLO PALOMINO</v>
      </c>
      <c r="E99" s="14" t="str">
        <f aca="false">base!G99</f>
        <v>KARLA SUERO PALOMINO</v>
      </c>
      <c r="F99" s="14" t="n">
        <f aca="false">N(base!O99)</f>
        <v>1</v>
      </c>
      <c r="G99" s="4" t="n">
        <f aca="false">SUM(base!U99:AF99)+N(base!AK99)</f>
        <v>6</v>
      </c>
      <c r="H99" s="14" t="n">
        <f aca="false">N(base!S99)</f>
        <v>16</v>
      </c>
      <c r="I99" s="6" t="n">
        <f aca="false">IFERROR(G99/H99,0)</f>
        <v>0.375</v>
      </c>
      <c r="J99" s="4" t="n">
        <f aca="false">SUM(base!AG99:AJ99)</f>
        <v>6</v>
      </c>
      <c r="K99" s="5" t="n">
        <f aca="false">IFERROR((base!AG99+base!AH99)/(base!K99+base!L99),0)</f>
        <v>3</v>
      </c>
      <c r="L99" s="5" t="n">
        <f aca="false">MAX(N(base!AI99),K99*N(base!M99))</f>
        <v>3</v>
      </c>
      <c r="M99" s="5" t="n">
        <f aca="false">MAX(N(base!AJ99),K99*N(base!N99))</f>
        <v>3</v>
      </c>
      <c r="N99" s="5" t="n">
        <f aca="false">base!AG99+base!AH99+L99+M99</f>
        <v>12</v>
      </c>
      <c r="O99" s="14" t="n">
        <f aca="false">N(base!T99)</f>
        <v>5</v>
      </c>
      <c r="P99" s="6" t="n">
        <f aca="false">IFERROR(J99/O99,0)</f>
        <v>1.2</v>
      </c>
      <c r="Q99" s="6" t="n">
        <f aca="false">IFERROR(N99/O99,0)</f>
        <v>2.4</v>
      </c>
      <c r="R99" s="6" t="n">
        <f aca="false">Parametros!$B$3*I99+Parametros!$B$4*P99</f>
        <v>0.6225</v>
      </c>
      <c r="S99" s="6" t="n">
        <f aca="false">Parametros!$B$3*I99+Parametros!$B$4*Q99</f>
        <v>0.9825</v>
      </c>
      <c r="T99" s="4" t="str">
        <f aca="false">IF(S99&lt;tablas!$C$3,"No activa",INDEX(tablas!$B$3:$B$8,MATCH(S99,tablas!$C$3:$C$8,1)))</f>
        <v>N2</v>
      </c>
      <c r="U99" s="15" t="n">
        <f aca="false">IF(S99&lt;tablas!$C$3,0,INDEX(tablas!$D$3:$D$8,MATCH(S99,tablas!$C$3:$C$8,1)))</f>
        <v>0.9</v>
      </c>
      <c r="V99" s="16" t="n">
        <f aca="false">N(base!AQ99)</f>
        <v>1200</v>
      </c>
      <c r="W99" s="7" t="n">
        <f aca="false">U99*V99</f>
        <v>1080</v>
      </c>
      <c r="X99" s="4" t="str">
        <f aca="false">IF(R99&lt;tablas!$C$3,"No activa",INDEX(tablas!$B$3:$B$8,MATCH(R99,tablas!$C$3:$C$8,1)))</f>
        <v>No activa</v>
      </c>
      <c r="Y99" s="7" t="n">
        <f aca="false">IF(R99&lt;tablas!$C$3,0,INDEX(tablas!$D$3:$D$8,MATCH(R99,tablas!$C$3:$C$8,1)))*V99</f>
        <v>0</v>
      </c>
      <c r="Z99" s="4" t="str">
        <f aca="false">IF(S99&gt;=tablas!$C$3,"Activa",IF(S99&gt;=Parametros!$B$5,"Cerca","No activa"))</f>
        <v>Activa</v>
      </c>
      <c r="AA99" s="6" t="n">
        <f aca="false">MAX(0,tablas!$C$3-S99)</f>
        <v>0</v>
      </c>
    </row>
    <row r="100" customFormat="false" ht="15" hidden="false" customHeight="false" outlineLevel="0" collapsed="false">
      <c r="A100" s="14" t="str">
        <f aca="false">base!A100</f>
        <v>76761426-3</v>
      </c>
      <c r="B100" s="14" t="str">
        <f aca="false">base!E100</f>
        <v>Inbound Premium</v>
      </c>
      <c r="C100" s="14" t="str">
        <f aca="false">base!D100</f>
        <v>Inbound</v>
      </c>
      <c r="D100" s="14" t="str">
        <f aca="false">base!F100</f>
        <v>JESSICA CASTILLO PALOMINO</v>
      </c>
      <c r="E100" s="14" t="str">
        <f aca="false">base!G100</f>
        <v>KARLA SUERO PALOMINO</v>
      </c>
      <c r="F100" s="14" t="n">
        <f aca="false">N(base!O100)</f>
        <v>1</v>
      </c>
      <c r="G100" s="4" t="n">
        <f aca="false">SUM(base!U100:AF100)+N(base!AK100)</f>
        <v>5</v>
      </c>
      <c r="H100" s="14" t="n">
        <f aca="false">N(base!S100)</f>
        <v>16</v>
      </c>
      <c r="I100" s="6" t="n">
        <f aca="false">IFERROR(G100/H100,0)</f>
        <v>0.3125</v>
      </c>
      <c r="J100" s="4" t="n">
        <f aca="false">SUM(base!AG100:AJ100)</f>
        <v>9</v>
      </c>
      <c r="K100" s="5" t="n">
        <f aca="false">IFERROR((base!AG100+base!AH100)/(base!K100+base!L100),0)</f>
        <v>4</v>
      </c>
      <c r="L100" s="5" t="n">
        <f aca="false">MAX(N(base!AI100),K100*N(base!M100))</f>
        <v>4</v>
      </c>
      <c r="M100" s="5" t="n">
        <f aca="false">MAX(N(base!AJ100),K100*N(base!N100))</f>
        <v>4</v>
      </c>
      <c r="N100" s="5" t="n">
        <f aca="false">base!AG100+base!AH100+L100+M100</f>
        <v>16</v>
      </c>
      <c r="O100" s="14" t="n">
        <f aca="false">N(base!T100)</f>
        <v>6</v>
      </c>
      <c r="P100" s="6" t="n">
        <f aca="false">IFERROR(J100/O100,0)</f>
        <v>1.5</v>
      </c>
      <c r="Q100" s="6" t="n">
        <f aca="false">IFERROR(N100/O100,0)</f>
        <v>2.66666666666667</v>
      </c>
      <c r="R100" s="6" t="n">
        <f aca="false">Parametros!$B$3*I100+Parametros!$B$4*P100</f>
        <v>0.66875</v>
      </c>
      <c r="S100" s="6" t="n">
        <f aca="false">Parametros!$B$3*I100+Parametros!$B$4*Q100</f>
        <v>1.01875</v>
      </c>
      <c r="T100" s="4" t="str">
        <f aca="false">IF(S100&lt;tablas!$C$3,"No activa",INDEX(tablas!$B$3:$B$8,MATCH(S100,tablas!$C$3:$C$8,1)))</f>
        <v>N3</v>
      </c>
      <c r="U100" s="15" t="n">
        <f aca="false">IF(S100&lt;tablas!$C$3,0,INDEX(tablas!$D$3:$D$8,MATCH(S100,tablas!$C$3:$C$8,1)))</f>
        <v>1</v>
      </c>
      <c r="V100" s="16" t="n">
        <f aca="false">N(base!AQ100)</f>
        <v>1200</v>
      </c>
      <c r="W100" s="7" t="n">
        <f aca="false">U100*V100</f>
        <v>1200</v>
      </c>
      <c r="X100" s="4" t="str">
        <f aca="false">IF(R100&lt;tablas!$C$3,"No activa",INDEX(tablas!$B$3:$B$8,MATCH(R100,tablas!$C$3:$C$8,1)))</f>
        <v>No activa</v>
      </c>
      <c r="Y100" s="7" t="n">
        <f aca="false">IF(R100&lt;tablas!$C$3,0,INDEX(tablas!$D$3:$D$8,MATCH(R100,tablas!$C$3:$C$8,1)))*V100</f>
        <v>0</v>
      </c>
      <c r="Z100" s="4" t="str">
        <f aca="false">IF(S100&gt;=tablas!$C$3,"Activa",IF(S100&gt;=Parametros!$B$5,"Cerca","No activa"))</f>
        <v>Activa</v>
      </c>
      <c r="AA100" s="6" t="n">
        <f aca="false">MAX(0,tablas!$C$3-S100)</f>
        <v>0</v>
      </c>
    </row>
    <row r="101" customFormat="false" ht="15" hidden="false" customHeight="false" outlineLevel="0" collapsed="false">
      <c r="A101" s="14" t="str">
        <f aca="false">base!A101</f>
        <v>46971051-9</v>
      </c>
      <c r="B101" s="14" t="str">
        <f aca="false">base!E101</f>
        <v>Chattigo</v>
      </c>
      <c r="C101" s="14" t="str">
        <f aca="false">base!D101</f>
        <v>Inbound</v>
      </c>
      <c r="D101" s="14" t="str">
        <f aca="false">base!F101</f>
        <v>CARLOS GARCIA MORALES</v>
      </c>
      <c r="E101" s="14" t="str">
        <f aca="false">base!G101</f>
        <v>YEISON ROJAS INGOL</v>
      </c>
      <c r="F101" s="14" t="n">
        <f aca="false">N(base!O101)</f>
        <v>1</v>
      </c>
      <c r="G101" s="4" t="n">
        <f aca="false">SUM(base!U101:AF101)+N(base!AK101)</f>
        <v>40</v>
      </c>
      <c r="H101" s="14" t="n">
        <f aca="false">N(base!S101)</f>
        <v>30</v>
      </c>
      <c r="I101" s="6" t="n">
        <f aca="false">IFERROR(G101/H101,0)</f>
        <v>1.33333333333333</v>
      </c>
      <c r="J101" s="4" t="n">
        <f aca="false">SUM(base!AG101:AJ101)</f>
        <v>13</v>
      </c>
      <c r="K101" s="5" t="n">
        <f aca="false">IFERROR((base!AG101+base!AH101)/(base!K101+base!L101),0)</f>
        <v>6.5</v>
      </c>
      <c r="L101" s="5" t="n">
        <f aca="false">MAX(N(base!AI101),K101*N(base!M101))</f>
        <v>6.5</v>
      </c>
      <c r="M101" s="5" t="n">
        <f aca="false">MAX(N(base!AJ101),K101*N(base!N101))</f>
        <v>6.5</v>
      </c>
      <c r="N101" s="5" t="n">
        <f aca="false">base!AG101+base!AH101+L101+M101</f>
        <v>26</v>
      </c>
      <c r="O101" s="14" t="n">
        <f aca="false">N(base!T101)</f>
        <v>9</v>
      </c>
      <c r="P101" s="6" t="n">
        <f aca="false">IFERROR(J101/O101,0)</f>
        <v>1.44444444444444</v>
      </c>
      <c r="Q101" s="6" t="n">
        <f aca="false">IFERROR(N101/O101,0)</f>
        <v>2.88888888888889</v>
      </c>
      <c r="R101" s="6" t="n">
        <f aca="false">Parametros!$B$3*I101+Parametros!$B$4*P101</f>
        <v>1.36666666666667</v>
      </c>
      <c r="S101" s="6" t="n">
        <f aca="false">Parametros!$B$3*I101+Parametros!$B$4*Q101</f>
        <v>1.8</v>
      </c>
      <c r="T101" s="4" t="str">
        <f aca="false">IF(S101&lt;tablas!$C$3,"No activa",INDEX(tablas!$B$3:$B$8,MATCH(S101,tablas!$C$3:$C$8,1)))</f>
        <v>N6</v>
      </c>
      <c r="U101" s="15" t="n">
        <f aca="false">IF(S101&lt;tablas!$C$3,0,INDEX(tablas!$D$3:$D$8,MATCH(S101,tablas!$C$3:$C$8,1)))</f>
        <v>2</v>
      </c>
      <c r="V101" s="16" t="n">
        <f aca="false">N(base!AQ101)</f>
        <v>1200</v>
      </c>
      <c r="W101" s="7" t="n">
        <f aca="false">U101*V101</f>
        <v>2400</v>
      </c>
      <c r="X101" s="4" t="str">
        <f aca="false">IF(R101&lt;tablas!$C$3,"No activa",INDEX(tablas!$B$3:$B$8,MATCH(R101,tablas!$C$3:$C$8,1)))</f>
        <v>N6</v>
      </c>
      <c r="Y101" s="7" t="n">
        <f aca="false">IF(R101&lt;tablas!$C$3,0,INDEX(tablas!$D$3:$D$8,MATCH(R101,tablas!$C$3:$C$8,1)))*V101</f>
        <v>2400</v>
      </c>
      <c r="Z101" s="4" t="str">
        <f aca="false">IF(S101&gt;=tablas!$C$3,"Activa",IF(S101&gt;=Parametros!$B$5,"Cerca","No activa"))</f>
        <v>Activa</v>
      </c>
      <c r="AA101" s="6" t="n">
        <f aca="false">MAX(0,tablas!$C$3-S101)</f>
        <v>0</v>
      </c>
    </row>
    <row r="102" customFormat="false" ht="15" hidden="false" customHeight="false" outlineLevel="0" collapsed="false">
      <c r="A102" s="14" t="str">
        <f aca="false">base!A102</f>
        <v>71283999-1</v>
      </c>
      <c r="B102" s="14" t="str">
        <f aca="false">base!E102</f>
        <v>Chattigo</v>
      </c>
      <c r="C102" s="14" t="str">
        <f aca="false">base!D102</f>
        <v>Inbound</v>
      </c>
      <c r="D102" s="14" t="str">
        <f aca="false">base!F102</f>
        <v>CARLOS GARCIA MORALES</v>
      </c>
      <c r="E102" s="14" t="str">
        <f aca="false">base!G102</f>
        <v>YEISON ROJAS INGOL</v>
      </c>
      <c r="F102" s="14" t="n">
        <f aca="false">N(base!O102)</f>
        <v>1</v>
      </c>
      <c r="G102" s="4" t="n">
        <f aca="false">SUM(base!U102:AF102)+N(base!AK102)</f>
        <v>10</v>
      </c>
      <c r="H102" s="14" t="n">
        <f aca="false">N(base!S102)</f>
        <v>30</v>
      </c>
      <c r="I102" s="6" t="n">
        <f aca="false">IFERROR(G102/H102,0)</f>
        <v>0.333333333333333</v>
      </c>
      <c r="J102" s="4" t="n">
        <f aca="false">SUM(base!AG102:AJ102)</f>
        <v>9</v>
      </c>
      <c r="K102" s="5" t="n">
        <f aca="false">IFERROR((base!AG102+base!AH102)/(base!K102+base!L102),0)</f>
        <v>4.5</v>
      </c>
      <c r="L102" s="5" t="n">
        <f aca="false">MAX(N(base!AI102),K102*N(base!M102))</f>
        <v>4.5</v>
      </c>
      <c r="M102" s="5" t="n">
        <f aca="false">MAX(N(base!AJ102),K102*N(base!N102))</f>
        <v>4.5</v>
      </c>
      <c r="N102" s="5" t="n">
        <f aca="false">base!AG102+base!AH102+L102+M102</f>
        <v>18</v>
      </c>
      <c r="O102" s="14" t="n">
        <f aca="false">N(base!T102)</f>
        <v>11</v>
      </c>
      <c r="P102" s="6" t="n">
        <f aca="false">IFERROR(J102/O102,0)</f>
        <v>0.818181818181818</v>
      </c>
      <c r="Q102" s="6" t="n">
        <f aca="false">IFERROR(N102/O102,0)</f>
        <v>1.63636363636364</v>
      </c>
      <c r="R102" s="6" t="n">
        <f aca="false">Parametros!$B$3*I102+Parametros!$B$4*P102</f>
        <v>0.478787878787879</v>
      </c>
      <c r="S102" s="6" t="n">
        <f aca="false">Parametros!$B$3*I102+Parametros!$B$4*Q102</f>
        <v>0.724242424242424</v>
      </c>
      <c r="T102" s="4" t="str">
        <f aca="false">IF(S102&lt;tablas!$C$3,"No activa",INDEX(tablas!$B$3:$B$8,MATCH(S102,tablas!$C$3:$C$8,1)))</f>
        <v>No activa</v>
      </c>
      <c r="U102" s="15" t="n">
        <f aca="false">IF(S102&lt;tablas!$C$3,0,INDEX(tablas!$D$3:$D$8,MATCH(S102,tablas!$C$3:$C$8,1)))</f>
        <v>0</v>
      </c>
      <c r="V102" s="16" t="n">
        <f aca="false">N(base!AQ102)</f>
        <v>1200</v>
      </c>
      <c r="W102" s="7" t="n">
        <f aca="false">U102*V102</f>
        <v>0</v>
      </c>
      <c r="X102" s="4" t="str">
        <f aca="false">IF(R102&lt;tablas!$C$3,"No activa",INDEX(tablas!$B$3:$B$8,MATCH(R102,tablas!$C$3:$C$8,1)))</f>
        <v>No activa</v>
      </c>
      <c r="Y102" s="7" t="n">
        <f aca="false">IF(R102&lt;tablas!$C$3,0,INDEX(tablas!$D$3:$D$8,MATCH(R102,tablas!$C$3:$C$8,1)))*V102</f>
        <v>0</v>
      </c>
      <c r="Z102" s="4" t="str">
        <f aca="false">IF(S102&gt;=tablas!$C$3,"Activa",IF(S102&gt;=Parametros!$B$5,"Cerca","No activa"))</f>
        <v>Cerca</v>
      </c>
      <c r="AA102" s="6" t="n">
        <f aca="false">MAX(0,tablas!$C$3-S102)</f>
        <v>0.0757575757575758</v>
      </c>
    </row>
    <row r="103" customFormat="false" ht="15" hidden="false" customHeight="false" outlineLevel="0" collapsed="false">
      <c r="A103" s="14" t="str">
        <f aca="false">base!A103</f>
        <v>72804983-4</v>
      </c>
      <c r="B103" s="14" t="str">
        <f aca="false">base!E103</f>
        <v>Chattigo</v>
      </c>
      <c r="C103" s="14" t="str">
        <f aca="false">base!D103</f>
        <v>Inbound</v>
      </c>
      <c r="D103" s="14" t="str">
        <f aca="false">base!F103</f>
        <v>MAITE PEÑA VALLE</v>
      </c>
      <c r="E103" s="14" t="str">
        <f aca="false">base!G103</f>
        <v>YEISON ROJAS INGOL</v>
      </c>
      <c r="F103" s="14" t="n">
        <f aca="false">N(base!O103)</f>
        <v>1</v>
      </c>
      <c r="G103" s="4" t="n">
        <f aca="false">SUM(base!U103:AF103)+N(base!AK103)</f>
        <v>4</v>
      </c>
      <c r="H103" s="14" t="n">
        <f aca="false">N(base!S103)</f>
        <v>30</v>
      </c>
      <c r="I103" s="6" t="n">
        <f aca="false">IFERROR(G103/H103,0)</f>
        <v>0.133333333333333</v>
      </c>
      <c r="J103" s="4" t="n">
        <f aca="false">SUM(base!AG103:AJ103)</f>
        <v>15</v>
      </c>
      <c r="K103" s="5" t="n">
        <f aca="false">IFERROR((base!AG103+base!AH103)/(base!K103+base!L103),0)</f>
        <v>7</v>
      </c>
      <c r="L103" s="5" t="n">
        <f aca="false">MAX(N(base!AI103),K103*N(base!M103))</f>
        <v>7</v>
      </c>
      <c r="M103" s="5" t="n">
        <f aca="false">MAX(N(base!AJ103),K103*N(base!N103))</f>
        <v>7</v>
      </c>
      <c r="N103" s="5" t="n">
        <f aca="false">base!AG103+base!AH103+L103+M103</f>
        <v>28</v>
      </c>
      <c r="O103" s="14" t="n">
        <f aca="false">N(base!T103)</f>
        <v>11</v>
      </c>
      <c r="P103" s="6" t="n">
        <f aca="false">IFERROR(J103/O103,0)</f>
        <v>1.36363636363636</v>
      </c>
      <c r="Q103" s="6" t="n">
        <f aca="false">IFERROR(N103/O103,0)</f>
        <v>2.54545454545455</v>
      </c>
      <c r="R103" s="6" t="n">
        <f aca="false">Parametros!$B$3*I103+Parametros!$B$4*P103</f>
        <v>0.502424242424242</v>
      </c>
      <c r="S103" s="6" t="n">
        <f aca="false">Parametros!$B$3*I103+Parametros!$B$4*Q103</f>
        <v>0.856969696969697</v>
      </c>
      <c r="T103" s="4" t="str">
        <f aca="false">IF(S103&lt;tablas!$C$3,"No activa",INDEX(tablas!$B$3:$B$8,MATCH(S103,tablas!$C$3:$C$8,1)))</f>
        <v>N1</v>
      </c>
      <c r="U103" s="15" t="n">
        <f aca="false">IF(S103&lt;tablas!$C$3,0,INDEX(tablas!$D$3:$D$8,MATCH(S103,tablas!$C$3:$C$8,1)))</f>
        <v>0.3</v>
      </c>
      <c r="V103" s="16" t="n">
        <f aca="false">N(base!AQ103)</f>
        <v>1200</v>
      </c>
      <c r="W103" s="7" t="n">
        <f aca="false">U103*V103</f>
        <v>360</v>
      </c>
      <c r="X103" s="4" t="str">
        <f aca="false">IF(R103&lt;tablas!$C$3,"No activa",INDEX(tablas!$B$3:$B$8,MATCH(R103,tablas!$C$3:$C$8,1)))</f>
        <v>No activa</v>
      </c>
      <c r="Y103" s="7" t="n">
        <f aca="false">IF(R103&lt;tablas!$C$3,0,INDEX(tablas!$D$3:$D$8,MATCH(R103,tablas!$C$3:$C$8,1)))*V103</f>
        <v>0</v>
      </c>
      <c r="Z103" s="4" t="str">
        <f aca="false">IF(S103&gt;=tablas!$C$3,"Activa",IF(S103&gt;=Parametros!$B$5,"Cerca","No activa"))</f>
        <v>Activa</v>
      </c>
      <c r="AA103" s="6" t="n">
        <f aca="false">MAX(0,tablas!$C$3-S103)</f>
        <v>0</v>
      </c>
    </row>
    <row r="104" customFormat="false" ht="15" hidden="false" customHeight="false" outlineLevel="0" collapsed="false">
      <c r="A104" s="14" t="str">
        <f aca="false">base!A104</f>
        <v>70076606-9</v>
      </c>
      <c r="B104" s="14" t="str">
        <f aca="false">base!E104</f>
        <v>Chattigo</v>
      </c>
      <c r="C104" s="14" t="str">
        <f aca="false">base!D104</f>
        <v>Inbound</v>
      </c>
      <c r="D104" s="14" t="str">
        <f aca="false">base!F104</f>
        <v>MAITE PEÑA VALLE</v>
      </c>
      <c r="E104" s="14" t="str">
        <f aca="false">base!G104</f>
        <v>YEISON ROJAS INGOL</v>
      </c>
      <c r="F104" s="14" t="n">
        <f aca="false">N(base!O104)</f>
        <v>1</v>
      </c>
      <c r="G104" s="4" t="n">
        <f aca="false">SUM(base!U104:AF104)+N(base!AK104)</f>
        <v>26</v>
      </c>
      <c r="H104" s="14" t="n">
        <f aca="false">N(base!S104)</f>
        <v>30</v>
      </c>
      <c r="I104" s="6" t="n">
        <f aca="false">IFERROR(G104/H104,0)</f>
        <v>0.866666666666667</v>
      </c>
      <c r="J104" s="4" t="n">
        <f aca="false">SUM(base!AG104:AJ104)</f>
        <v>8</v>
      </c>
      <c r="K104" s="5" t="n">
        <f aca="false">IFERROR((base!AG104+base!AH104)/(base!K104+base!L104),0)</f>
        <v>3.5</v>
      </c>
      <c r="L104" s="5" t="n">
        <f aca="false">MAX(N(base!AI104),K104*N(base!M104))</f>
        <v>3.5</v>
      </c>
      <c r="M104" s="5" t="n">
        <f aca="false">MAX(N(base!AJ104),K104*N(base!N104))</f>
        <v>3.5</v>
      </c>
      <c r="N104" s="5" t="n">
        <f aca="false">base!AG104+base!AH104+L104+M104</f>
        <v>14</v>
      </c>
      <c r="O104" s="14" t="n">
        <f aca="false">N(base!T104)</f>
        <v>11</v>
      </c>
      <c r="P104" s="6" t="n">
        <f aca="false">IFERROR(J104/O104,0)</f>
        <v>0.727272727272727</v>
      </c>
      <c r="Q104" s="6" t="n">
        <f aca="false">IFERROR(N104/O104,0)</f>
        <v>1.27272727272727</v>
      </c>
      <c r="R104" s="6" t="n">
        <f aca="false">Parametros!$B$3*I104+Parametros!$B$4*P104</f>
        <v>0.824848484848485</v>
      </c>
      <c r="S104" s="6" t="n">
        <f aca="false">Parametros!$B$3*I104+Parametros!$B$4*Q104</f>
        <v>0.988484848484849</v>
      </c>
      <c r="T104" s="4" t="str">
        <f aca="false">IF(S104&lt;tablas!$C$3,"No activa",INDEX(tablas!$B$3:$B$8,MATCH(S104,tablas!$C$3:$C$8,1)))</f>
        <v>N2</v>
      </c>
      <c r="U104" s="15" t="n">
        <f aca="false">IF(S104&lt;tablas!$C$3,0,INDEX(tablas!$D$3:$D$8,MATCH(S104,tablas!$C$3:$C$8,1)))</f>
        <v>0.9</v>
      </c>
      <c r="V104" s="16" t="n">
        <f aca="false">N(base!AQ104)</f>
        <v>1200</v>
      </c>
      <c r="W104" s="7" t="n">
        <f aca="false">U104*V104</f>
        <v>1080</v>
      </c>
      <c r="X104" s="4" t="str">
        <f aca="false">IF(R104&lt;tablas!$C$3,"No activa",INDEX(tablas!$B$3:$B$8,MATCH(R104,tablas!$C$3:$C$8,1)))</f>
        <v>N1</v>
      </c>
      <c r="Y104" s="7" t="n">
        <f aca="false">IF(R104&lt;tablas!$C$3,0,INDEX(tablas!$D$3:$D$8,MATCH(R104,tablas!$C$3:$C$8,1)))*V104</f>
        <v>360</v>
      </c>
      <c r="Z104" s="4" t="str">
        <f aca="false">IF(S104&gt;=tablas!$C$3,"Activa",IF(S104&gt;=Parametros!$B$5,"Cerca","No activa"))</f>
        <v>Activa</v>
      </c>
      <c r="AA104" s="6" t="n">
        <f aca="false">MAX(0,tablas!$C$3-S104)</f>
        <v>0</v>
      </c>
    </row>
    <row r="105" customFormat="false" ht="15" hidden="false" customHeight="false" outlineLevel="0" collapsed="false">
      <c r="A105" s="14" t="str">
        <f aca="false">base!A105</f>
        <v>41631912-5</v>
      </c>
      <c r="B105" s="14" t="str">
        <f aca="false">base!E105</f>
        <v>Chattigo</v>
      </c>
      <c r="C105" s="14" t="str">
        <f aca="false">base!D105</f>
        <v>Inbound</v>
      </c>
      <c r="D105" s="14" t="str">
        <f aca="false">base!F105</f>
        <v>CARLOS GARCIA MORALES</v>
      </c>
      <c r="E105" s="14" t="str">
        <f aca="false">base!G105</f>
        <v>YEISON ROJAS INGOL</v>
      </c>
      <c r="F105" s="14" t="n">
        <f aca="false">N(base!O105)</f>
        <v>1</v>
      </c>
      <c r="G105" s="4" t="n">
        <f aca="false">SUM(base!U105:AF105)+N(base!AK105)</f>
        <v>19</v>
      </c>
      <c r="H105" s="14" t="n">
        <f aca="false">N(base!S105)</f>
        <v>30</v>
      </c>
      <c r="I105" s="6" t="n">
        <f aca="false">IFERROR(G105/H105,0)</f>
        <v>0.633333333333333</v>
      </c>
      <c r="J105" s="4" t="n">
        <f aca="false">SUM(base!AG105:AJ105)</f>
        <v>16</v>
      </c>
      <c r="K105" s="5" t="n">
        <f aca="false">IFERROR((base!AG105+base!AH105)/(base!K105+base!L105),0)</f>
        <v>7.5</v>
      </c>
      <c r="L105" s="5" t="n">
        <f aca="false">MAX(N(base!AI105),K105*N(base!M105))</f>
        <v>7.5</v>
      </c>
      <c r="M105" s="5" t="n">
        <f aca="false">MAX(N(base!AJ105),K105*N(base!N105))</f>
        <v>7.5</v>
      </c>
      <c r="N105" s="5" t="n">
        <f aca="false">base!AG105+base!AH105+L105+M105</f>
        <v>30</v>
      </c>
      <c r="O105" s="14" t="n">
        <f aca="false">N(base!T105)</f>
        <v>12</v>
      </c>
      <c r="P105" s="6" t="n">
        <f aca="false">IFERROR(J105/O105,0)</f>
        <v>1.33333333333333</v>
      </c>
      <c r="Q105" s="6" t="n">
        <f aca="false">IFERROR(N105/O105,0)</f>
        <v>2.5</v>
      </c>
      <c r="R105" s="6" t="n">
        <f aca="false">Parametros!$B$3*I105+Parametros!$B$4*P105</f>
        <v>0.843333333333333</v>
      </c>
      <c r="S105" s="6" t="n">
        <f aca="false">Parametros!$B$3*I105+Parametros!$B$4*Q105</f>
        <v>1.19333333333333</v>
      </c>
      <c r="T105" s="4" t="str">
        <f aca="false">IF(S105&lt;tablas!$C$3,"No activa",INDEX(tablas!$B$3:$B$8,MATCH(S105,tablas!$C$3:$C$8,1)))</f>
        <v>N4</v>
      </c>
      <c r="U105" s="15" t="n">
        <f aca="false">IF(S105&lt;tablas!$C$3,0,INDEX(tablas!$D$3:$D$8,MATCH(S105,tablas!$C$3:$C$8,1)))</f>
        <v>1.3</v>
      </c>
      <c r="V105" s="16" t="n">
        <f aca="false">N(base!AQ105)</f>
        <v>1200</v>
      </c>
      <c r="W105" s="7" t="n">
        <f aca="false">U105*V105</f>
        <v>1560</v>
      </c>
      <c r="X105" s="4" t="str">
        <f aca="false">IF(R105&lt;tablas!$C$3,"No activa",INDEX(tablas!$B$3:$B$8,MATCH(R105,tablas!$C$3:$C$8,1)))</f>
        <v>N1</v>
      </c>
      <c r="Y105" s="7" t="n">
        <f aca="false">IF(R105&lt;tablas!$C$3,0,INDEX(tablas!$D$3:$D$8,MATCH(R105,tablas!$C$3:$C$8,1)))*V105</f>
        <v>360</v>
      </c>
      <c r="Z105" s="4" t="str">
        <f aca="false">IF(S105&gt;=tablas!$C$3,"Activa",IF(S105&gt;=Parametros!$B$5,"Cerca","No activa"))</f>
        <v>Activa</v>
      </c>
      <c r="AA105" s="6" t="n">
        <f aca="false">MAX(0,tablas!$C$3-S105)</f>
        <v>0</v>
      </c>
    </row>
    <row r="106" customFormat="false" ht="15" hidden="false" customHeight="false" outlineLevel="0" collapsed="false">
      <c r="A106" s="14" t="str">
        <f aca="false">base!A106</f>
        <v>72194334-3</v>
      </c>
      <c r="B106" s="14" t="str">
        <f aca="false">base!E106</f>
        <v>Chattigo</v>
      </c>
      <c r="C106" s="14" t="str">
        <f aca="false">base!D106</f>
        <v>Inbound</v>
      </c>
      <c r="D106" s="14" t="str">
        <f aca="false">base!F106</f>
        <v>CARLOS GARCIA MORALES</v>
      </c>
      <c r="E106" s="14" t="str">
        <f aca="false">base!G106</f>
        <v>YEISON ROJAS INGOL</v>
      </c>
      <c r="F106" s="14" t="n">
        <f aca="false">N(base!O106)</f>
        <v>1</v>
      </c>
      <c r="G106" s="4" t="n">
        <f aca="false">SUM(base!U106:AF106)+N(base!AK106)</f>
        <v>8</v>
      </c>
      <c r="H106" s="14" t="n">
        <f aca="false">N(base!S106)</f>
        <v>30</v>
      </c>
      <c r="I106" s="6" t="n">
        <f aca="false">IFERROR(G106/H106,0)</f>
        <v>0.266666666666667</v>
      </c>
      <c r="J106" s="4" t="n">
        <f aca="false">SUM(base!AG106:AJ106)</f>
        <v>12</v>
      </c>
      <c r="K106" s="5" t="n">
        <f aca="false">IFERROR((base!AG106+base!AH106)/(base!K106+base!L106),0)</f>
        <v>5.5</v>
      </c>
      <c r="L106" s="5" t="n">
        <f aca="false">MAX(N(base!AI106),K106*N(base!M106))</f>
        <v>5.5</v>
      </c>
      <c r="M106" s="5" t="n">
        <f aca="false">MAX(N(base!AJ106),K106*N(base!N106))</f>
        <v>5.5</v>
      </c>
      <c r="N106" s="5" t="n">
        <f aca="false">base!AG106+base!AH106+L106+M106</f>
        <v>22</v>
      </c>
      <c r="O106" s="14" t="n">
        <f aca="false">N(base!T106)</f>
        <v>10</v>
      </c>
      <c r="P106" s="6" t="n">
        <f aca="false">IFERROR(J106/O106,0)</f>
        <v>1.2</v>
      </c>
      <c r="Q106" s="6" t="n">
        <f aca="false">IFERROR(N106/O106,0)</f>
        <v>2.2</v>
      </c>
      <c r="R106" s="6" t="n">
        <f aca="false">Parametros!$B$3*I106+Parametros!$B$4*P106</f>
        <v>0.546666666666667</v>
      </c>
      <c r="S106" s="6" t="n">
        <f aca="false">Parametros!$B$3*I106+Parametros!$B$4*Q106</f>
        <v>0.846666666666667</v>
      </c>
      <c r="T106" s="4" t="str">
        <f aca="false">IF(S106&lt;tablas!$C$3,"No activa",INDEX(tablas!$B$3:$B$8,MATCH(S106,tablas!$C$3:$C$8,1)))</f>
        <v>N1</v>
      </c>
      <c r="U106" s="15" t="n">
        <f aca="false">IF(S106&lt;tablas!$C$3,0,INDEX(tablas!$D$3:$D$8,MATCH(S106,tablas!$C$3:$C$8,1)))</f>
        <v>0.3</v>
      </c>
      <c r="V106" s="16" t="n">
        <f aca="false">N(base!AQ106)</f>
        <v>1200</v>
      </c>
      <c r="W106" s="7" t="n">
        <f aca="false">U106*V106</f>
        <v>360</v>
      </c>
      <c r="X106" s="4" t="str">
        <f aca="false">IF(R106&lt;tablas!$C$3,"No activa",INDEX(tablas!$B$3:$B$8,MATCH(R106,tablas!$C$3:$C$8,1)))</f>
        <v>No activa</v>
      </c>
      <c r="Y106" s="7" t="n">
        <f aca="false">IF(R106&lt;tablas!$C$3,0,INDEX(tablas!$D$3:$D$8,MATCH(R106,tablas!$C$3:$C$8,1)))*V106</f>
        <v>0</v>
      </c>
      <c r="Z106" s="4" t="str">
        <f aca="false">IF(S106&gt;=tablas!$C$3,"Activa",IF(S106&gt;=Parametros!$B$5,"Cerca","No activa"))</f>
        <v>Activa</v>
      </c>
      <c r="AA106" s="6" t="n">
        <f aca="false">MAX(0,tablas!$C$3-S106)</f>
        <v>0</v>
      </c>
    </row>
    <row r="107" customFormat="false" ht="15" hidden="false" customHeight="false" outlineLevel="0" collapsed="false">
      <c r="A107" s="14" t="str">
        <f aca="false">base!A107</f>
        <v>47084491-0</v>
      </c>
      <c r="B107" s="14" t="str">
        <f aca="false">base!E107</f>
        <v>Chattigo</v>
      </c>
      <c r="C107" s="14" t="str">
        <f aca="false">base!D107</f>
        <v>Inbound</v>
      </c>
      <c r="D107" s="14" t="str">
        <f aca="false">base!F107</f>
        <v>MAITE PEÑA VALLE</v>
      </c>
      <c r="E107" s="14" t="str">
        <f aca="false">base!G107</f>
        <v>YEISON ROJAS INGOL</v>
      </c>
      <c r="F107" s="14" t="n">
        <f aca="false">N(base!O107)</f>
        <v>1</v>
      </c>
      <c r="G107" s="4" t="n">
        <f aca="false">SUM(base!U107:AF107)+N(base!AK107)</f>
        <v>12</v>
      </c>
      <c r="H107" s="14" t="n">
        <f aca="false">N(base!S107)</f>
        <v>30</v>
      </c>
      <c r="I107" s="6" t="n">
        <f aca="false">IFERROR(G107/H107,0)</f>
        <v>0.4</v>
      </c>
      <c r="J107" s="4" t="n">
        <f aca="false">SUM(base!AG107:AJ107)</f>
        <v>15</v>
      </c>
      <c r="K107" s="5" t="n">
        <f aca="false">IFERROR((base!AG107+base!AH107)/(base!K107+base!L107),0)</f>
        <v>5.5</v>
      </c>
      <c r="L107" s="5" t="n">
        <f aca="false">MAX(N(base!AI107),K107*N(base!M107))</f>
        <v>5.5</v>
      </c>
      <c r="M107" s="5" t="n">
        <f aca="false">MAX(N(base!AJ107),K107*N(base!N107))</f>
        <v>5.5</v>
      </c>
      <c r="N107" s="5" t="n">
        <f aca="false">base!AG107+base!AH107+L107+M107</f>
        <v>22</v>
      </c>
      <c r="O107" s="14" t="n">
        <f aca="false">N(base!T107)</f>
        <v>10</v>
      </c>
      <c r="P107" s="6" t="n">
        <f aca="false">IFERROR(J107/O107,0)</f>
        <v>1.5</v>
      </c>
      <c r="Q107" s="6" t="n">
        <f aca="false">IFERROR(N107/O107,0)</f>
        <v>2.2</v>
      </c>
      <c r="R107" s="6" t="n">
        <f aca="false">Parametros!$B$3*I107+Parametros!$B$4*P107</f>
        <v>0.73</v>
      </c>
      <c r="S107" s="6" t="n">
        <f aca="false">Parametros!$B$3*I107+Parametros!$B$4*Q107</f>
        <v>0.94</v>
      </c>
      <c r="T107" s="4" t="str">
        <f aca="false">IF(S107&lt;tablas!$C$3,"No activa",INDEX(tablas!$B$3:$B$8,MATCH(S107,tablas!$C$3:$C$8,1)))</f>
        <v>N2</v>
      </c>
      <c r="U107" s="15" t="n">
        <f aca="false">IF(S107&lt;tablas!$C$3,0,INDEX(tablas!$D$3:$D$8,MATCH(S107,tablas!$C$3:$C$8,1)))</f>
        <v>0.9</v>
      </c>
      <c r="V107" s="16" t="n">
        <f aca="false">N(base!AQ107)</f>
        <v>1200</v>
      </c>
      <c r="W107" s="7" t="n">
        <f aca="false">U107*V107</f>
        <v>1080</v>
      </c>
      <c r="X107" s="4" t="str">
        <f aca="false">IF(R107&lt;tablas!$C$3,"No activa",INDEX(tablas!$B$3:$B$8,MATCH(R107,tablas!$C$3:$C$8,1)))</f>
        <v>No activa</v>
      </c>
      <c r="Y107" s="7" t="n">
        <f aca="false">IF(R107&lt;tablas!$C$3,0,INDEX(tablas!$D$3:$D$8,MATCH(R107,tablas!$C$3:$C$8,1)))*V107</f>
        <v>0</v>
      </c>
      <c r="Z107" s="4" t="str">
        <f aca="false">IF(S107&gt;=tablas!$C$3,"Activa",IF(S107&gt;=Parametros!$B$5,"Cerca","No activa"))</f>
        <v>Activa</v>
      </c>
      <c r="AA107" s="6" t="n">
        <f aca="false">MAX(0,tablas!$C$3-S107)</f>
        <v>0</v>
      </c>
    </row>
    <row r="108" customFormat="false" ht="15" hidden="false" customHeight="false" outlineLevel="0" collapsed="false">
      <c r="A108" s="14" t="str">
        <f aca="false">base!A108</f>
        <v>72120996-8</v>
      </c>
      <c r="B108" s="14" t="str">
        <f aca="false">base!E108</f>
        <v>Chattigo</v>
      </c>
      <c r="C108" s="14" t="str">
        <f aca="false">base!D108</f>
        <v>Inbound</v>
      </c>
      <c r="D108" s="14" t="str">
        <f aca="false">base!F108</f>
        <v>MAITE PEÑA VALLE</v>
      </c>
      <c r="E108" s="14" t="str">
        <f aca="false">base!G108</f>
        <v>YEISON ROJAS INGOL</v>
      </c>
      <c r="F108" s="14" t="n">
        <f aca="false">N(base!O108)</f>
        <v>1</v>
      </c>
      <c r="G108" s="4" t="n">
        <f aca="false">SUM(base!U108:AF108)+N(base!AK108)</f>
        <v>20</v>
      </c>
      <c r="H108" s="14" t="n">
        <f aca="false">N(base!S108)</f>
        <v>30</v>
      </c>
      <c r="I108" s="6" t="n">
        <f aca="false">IFERROR(G108/H108,0)</f>
        <v>0.666666666666667</v>
      </c>
      <c r="J108" s="4" t="n">
        <f aca="false">SUM(base!AG108:AJ108)</f>
        <v>16</v>
      </c>
      <c r="K108" s="5" t="n">
        <f aca="false">IFERROR((base!AG108+base!AH108)/(base!K108+base!L108),0)</f>
        <v>7</v>
      </c>
      <c r="L108" s="5" t="n">
        <f aca="false">MAX(N(base!AI108),K108*N(base!M108))</f>
        <v>7</v>
      </c>
      <c r="M108" s="5" t="n">
        <f aca="false">MAX(N(base!AJ108),K108*N(base!N108))</f>
        <v>7</v>
      </c>
      <c r="N108" s="5" t="n">
        <f aca="false">base!AG108+base!AH108+L108+M108</f>
        <v>28</v>
      </c>
      <c r="O108" s="14" t="n">
        <f aca="false">N(base!T108)</f>
        <v>11</v>
      </c>
      <c r="P108" s="6" t="n">
        <f aca="false">IFERROR(J108/O108,0)</f>
        <v>1.45454545454545</v>
      </c>
      <c r="Q108" s="6" t="n">
        <f aca="false">IFERROR(N108/O108,0)</f>
        <v>2.54545454545455</v>
      </c>
      <c r="R108" s="6" t="n">
        <f aca="false">Parametros!$B$3*I108+Parametros!$B$4*P108</f>
        <v>0.903030303030303</v>
      </c>
      <c r="S108" s="6" t="n">
        <f aca="false">Parametros!$B$3*I108+Parametros!$B$4*Q108</f>
        <v>1.23030303030303</v>
      </c>
      <c r="T108" s="4" t="str">
        <f aca="false">IF(S108&lt;tablas!$C$3,"No activa",INDEX(tablas!$B$3:$B$8,MATCH(S108,tablas!$C$3:$C$8,1)))</f>
        <v>N5</v>
      </c>
      <c r="U108" s="15" t="n">
        <f aca="false">IF(S108&lt;tablas!$C$3,0,INDEX(tablas!$D$3:$D$8,MATCH(S108,tablas!$C$3:$C$8,1)))</f>
        <v>1.5</v>
      </c>
      <c r="V108" s="16" t="n">
        <f aca="false">N(base!AQ108)</f>
        <v>1800</v>
      </c>
      <c r="W108" s="7" t="n">
        <f aca="false">U108*V108</f>
        <v>2700</v>
      </c>
      <c r="X108" s="4" t="str">
        <f aca="false">IF(R108&lt;tablas!$C$3,"No activa",INDEX(tablas!$B$3:$B$8,MATCH(R108,tablas!$C$3:$C$8,1)))</f>
        <v>N2</v>
      </c>
      <c r="Y108" s="7" t="n">
        <f aca="false">IF(R108&lt;tablas!$C$3,0,INDEX(tablas!$D$3:$D$8,MATCH(R108,tablas!$C$3:$C$8,1)))*V108</f>
        <v>1620</v>
      </c>
      <c r="Z108" s="4" t="str">
        <f aca="false">IF(S108&gt;=tablas!$C$3,"Activa",IF(S108&gt;=Parametros!$B$5,"Cerca","No activa"))</f>
        <v>Activa</v>
      </c>
      <c r="AA108" s="6" t="n">
        <f aca="false">MAX(0,tablas!$C$3-S108)</f>
        <v>0</v>
      </c>
    </row>
    <row r="109" customFormat="false" ht="15" hidden="false" customHeight="false" outlineLevel="0" collapsed="false">
      <c r="A109" s="14" t="str">
        <f aca="false">base!A109</f>
        <v>76519658-8</v>
      </c>
      <c r="B109" s="14" t="str">
        <f aca="false">base!E109</f>
        <v>Chattigo</v>
      </c>
      <c r="C109" s="14" t="str">
        <f aca="false">base!D109</f>
        <v>Inbound</v>
      </c>
      <c r="D109" s="14" t="str">
        <f aca="false">base!F109</f>
        <v>MAITE PEÑA VALLE</v>
      </c>
      <c r="E109" s="14" t="str">
        <f aca="false">base!G109</f>
        <v>YEISON ROJAS INGOL</v>
      </c>
      <c r="F109" s="14" t="n">
        <f aca="false">N(base!O109)</f>
        <v>0.5</v>
      </c>
      <c r="G109" s="4" t="n">
        <f aca="false">SUM(base!U109:AF109)+N(base!AK109)</f>
        <v>3</v>
      </c>
      <c r="H109" s="14" t="n">
        <f aca="false">N(base!S109)</f>
        <v>15</v>
      </c>
      <c r="I109" s="6" t="n">
        <f aca="false">IFERROR(G109/H109,0)</f>
        <v>0.2</v>
      </c>
      <c r="J109" s="4" t="n">
        <f aca="false">SUM(base!AG109:AJ109)</f>
        <v>6</v>
      </c>
      <c r="K109" s="5" t="n">
        <f aca="false">IFERROR((base!AG109+base!AH109)/(base!K109+base!L109),0)</f>
        <v>3</v>
      </c>
      <c r="L109" s="5" t="n">
        <f aca="false">MAX(N(base!AI109),K109*N(base!M109))</f>
        <v>0</v>
      </c>
      <c r="M109" s="5" t="n">
        <f aca="false">MAX(N(base!AJ109),K109*N(base!N109))</f>
        <v>0</v>
      </c>
      <c r="N109" s="5" t="n">
        <f aca="false">base!AG109+base!AH109+L109+M109</f>
        <v>6</v>
      </c>
      <c r="O109" s="14" t="n">
        <f aca="false">N(base!T109)</f>
        <v>5</v>
      </c>
      <c r="P109" s="6" t="n">
        <f aca="false">IFERROR(J109/O109,0)</f>
        <v>1.2</v>
      </c>
      <c r="Q109" s="6" t="n">
        <f aca="false">IFERROR(N109/O109,0)</f>
        <v>1.2</v>
      </c>
      <c r="R109" s="6" t="n">
        <f aca="false">Parametros!$B$3*I109+Parametros!$B$4*P109</f>
        <v>0.5</v>
      </c>
      <c r="S109" s="6" t="n">
        <f aca="false">Parametros!$B$3*I109+Parametros!$B$4*Q109</f>
        <v>0.5</v>
      </c>
      <c r="T109" s="4" t="str">
        <f aca="false">IF(S109&lt;tablas!$C$3,"No activa",INDEX(tablas!$B$3:$B$8,MATCH(S109,tablas!$C$3:$C$8,1)))</f>
        <v>No activa</v>
      </c>
      <c r="U109" s="15" t="n">
        <f aca="false">IF(S109&lt;tablas!$C$3,0,INDEX(tablas!$D$3:$D$8,MATCH(S109,tablas!$C$3:$C$8,1)))</f>
        <v>0</v>
      </c>
      <c r="V109" s="16" t="n">
        <f aca="false">N(base!AQ109)</f>
        <v>600</v>
      </c>
      <c r="W109" s="7" t="n">
        <f aca="false">U109*V109</f>
        <v>0</v>
      </c>
      <c r="X109" s="4" t="str">
        <f aca="false">IF(R109&lt;tablas!$C$3,"No activa",INDEX(tablas!$B$3:$B$8,MATCH(R109,tablas!$C$3:$C$8,1)))</f>
        <v>No activa</v>
      </c>
      <c r="Y109" s="7" t="n">
        <f aca="false">IF(R109&lt;tablas!$C$3,0,INDEX(tablas!$D$3:$D$8,MATCH(R109,tablas!$C$3:$C$8,1)))*V109</f>
        <v>0</v>
      </c>
      <c r="Z109" s="4" t="str">
        <f aca="false">IF(S109&gt;=tablas!$C$3,"Activa",IF(S109&gt;=Parametros!$B$5,"Cerca","No activa"))</f>
        <v>No activa</v>
      </c>
      <c r="AA109" s="6" t="n">
        <f aca="false">MAX(0,tablas!$C$3-S109)</f>
        <v>0.3</v>
      </c>
    </row>
    <row r="110" customFormat="false" ht="15" hidden="false" customHeight="false" outlineLevel="0" collapsed="false">
      <c r="A110" s="14" t="str">
        <f aca="false">base!A110</f>
        <v>75521816-8</v>
      </c>
      <c r="B110" s="14" t="str">
        <f aca="false">base!E110</f>
        <v>Outbound Premium</v>
      </c>
      <c r="C110" s="14" t="str">
        <f aca="false">base!D110</f>
        <v>Outbound</v>
      </c>
      <c r="D110" s="14" t="str">
        <f aca="false">base!F110</f>
        <v>OMAR AGUILAR TELLO</v>
      </c>
      <c r="E110" s="14" t="str">
        <f aca="false">base!G110</f>
        <v>ROMULO CHAVEZ ACOSTA</v>
      </c>
      <c r="F110" s="14" t="n">
        <f aca="false">N(base!O110)</f>
        <v>1</v>
      </c>
      <c r="G110" s="4" t="n">
        <f aca="false">SUM(base!U110:AF110)+N(base!AK110)</f>
        <v>0</v>
      </c>
      <c r="H110" s="14" t="n">
        <f aca="false">N(base!S110)</f>
        <v>8</v>
      </c>
      <c r="I110" s="6" t="n">
        <f aca="false">IFERROR(G110/H110,0)</f>
        <v>0</v>
      </c>
      <c r="J110" s="4" t="n">
        <f aca="false">SUM(base!AG110:AJ110)</f>
        <v>2</v>
      </c>
      <c r="K110" s="5" t="n">
        <f aca="false">IFERROR((base!AG110+base!AH110)/(base!K110+base!L110),0)</f>
        <v>1</v>
      </c>
      <c r="L110" s="5" t="n">
        <f aca="false">MAX(N(base!AI110),K110*N(base!M110))</f>
        <v>1</v>
      </c>
      <c r="M110" s="5" t="n">
        <f aca="false">MAX(N(base!AJ110),K110*N(base!N110))</f>
        <v>1</v>
      </c>
      <c r="N110" s="5" t="n">
        <f aca="false">base!AG110+base!AH110+L110+M110</f>
        <v>4</v>
      </c>
      <c r="O110" s="14" t="n">
        <f aca="false">N(base!T110)</f>
        <v>3</v>
      </c>
      <c r="P110" s="6" t="n">
        <f aca="false">IFERROR(J110/O110,0)</f>
        <v>0.666666666666667</v>
      </c>
      <c r="Q110" s="6" t="n">
        <f aca="false">IFERROR(N110/O110,0)</f>
        <v>1.33333333333333</v>
      </c>
      <c r="R110" s="6" t="n">
        <f aca="false">Parametros!$B$3*I110+Parametros!$B$4*P110</f>
        <v>0.2</v>
      </c>
      <c r="S110" s="6" t="n">
        <f aca="false">Parametros!$B$3*I110+Parametros!$B$4*Q110</f>
        <v>0.4</v>
      </c>
      <c r="T110" s="4" t="str">
        <f aca="false">IF(S110&lt;tablas!$C$3,"No activa",INDEX(tablas!$B$3:$B$8,MATCH(S110,tablas!$C$3:$C$8,1)))</f>
        <v>No activa</v>
      </c>
      <c r="U110" s="15" t="n">
        <f aca="false">IF(S110&lt;tablas!$C$3,0,INDEX(tablas!$D$3:$D$8,MATCH(S110,tablas!$C$3:$C$8,1)))</f>
        <v>0</v>
      </c>
      <c r="V110" s="16" t="n">
        <f aca="false">N(base!AQ110)</f>
        <v>1200</v>
      </c>
      <c r="W110" s="7" t="n">
        <f aca="false">U110*V110</f>
        <v>0</v>
      </c>
      <c r="X110" s="4" t="str">
        <f aca="false">IF(R110&lt;tablas!$C$3,"No activa",INDEX(tablas!$B$3:$B$8,MATCH(R110,tablas!$C$3:$C$8,1)))</f>
        <v>No activa</v>
      </c>
      <c r="Y110" s="7" t="n">
        <f aca="false">IF(R110&lt;tablas!$C$3,0,INDEX(tablas!$D$3:$D$8,MATCH(R110,tablas!$C$3:$C$8,1)))*V110</f>
        <v>0</v>
      </c>
      <c r="Z110" s="4" t="str">
        <f aca="false">IF(S110&gt;=tablas!$C$3,"Activa",IF(S110&gt;=Parametros!$B$5,"Cerca","No activa"))</f>
        <v>No activa</v>
      </c>
      <c r="AA110" s="6" t="n">
        <f aca="false">MAX(0,tablas!$C$3-S110)</f>
        <v>0.4</v>
      </c>
    </row>
    <row r="111" customFormat="false" ht="15" hidden="false" customHeight="false" outlineLevel="0" collapsed="false">
      <c r="A111" s="14" t="str">
        <f aca="false">base!A111</f>
        <v>75976175-3</v>
      </c>
      <c r="B111" s="14" t="str">
        <f aca="false">base!E111</f>
        <v>Outbound Premium</v>
      </c>
      <c r="C111" s="14" t="str">
        <f aca="false">base!D111</f>
        <v>Outbound</v>
      </c>
      <c r="D111" s="14" t="str">
        <f aca="false">base!F111</f>
        <v>OMAR AGUILAR TELLO</v>
      </c>
      <c r="E111" s="14" t="str">
        <f aca="false">base!G111</f>
        <v>ROMULO CHAVEZ ACOSTA</v>
      </c>
      <c r="F111" s="14" t="n">
        <f aca="false">N(base!O111)</f>
        <v>1</v>
      </c>
      <c r="G111" s="4" t="n">
        <f aca="false">SUM(base!U111:AF111)+N(base!AK111)</f>
        <v>0</v>
      </c>
      <c r="H111" s="14" t="n">
        <f aca="false">N(base!S111)</f>
        <v>8</v>
      </c>
      <c r="I111" s="6" t="n">
        <f aca="false">IFERROR(G111/H111,0)</f>
        <v>0</v>
      </c>
      <c r="J111" s="4" t="n">
        <f aca="false">SUM(base!AG111:AJ111)</f>
        <v>0</v>
      </c>
      <c r="K111" s="5" t="n">
        <f aca="false">IFERROR((base!AG111+base!AH111)/(base!K111+base!L111),0)</f>
        <v>0</v>
      </c>
      <c r="L111" s="5" t="n">
        <f aca="false">MAX(N(base!AI111),K111*N(base!M111))</f>
        <v>0</v>
      </c>
      <c r="M111" s="5" t="n">
        <f aca="false">MAX(N(base!AJ111),K111*N(base!N111))</f>
        <v>0</v>
      </c>
      <c r="N111" s="5" t="n">
        <f aca="false">base!AG111+base!AH111+L111+M111</f>
        <v>0</v>
      </c>
      <c r="O111" s="14" t="n">
        <f aca="false">N(base!T111)</f>
        <v>3</v>
      </c>
      <c r="P111" s="6" t="n">
        <f aca="false">IFERROR(J111/O111,0)</f>
        <v>0</v>
      </c>
      <c r="Q111" s="6" t="n">
        <f aca="false">IFERROR(N111/O111,0)</f>
        <v>0</v>
      </c>
      <c r="R111" s="6" t="n">
        <f aca="false">Parametros!$B$3*I111+Parametros!$B$4*P111</f>
        <v>0</v>
      </c>
      <c r="S111" s="6" t="n">
        <f aca="false">Parametros!$B$3*I111+Parametros!$B$4*Q111</f>
        <v>0</v>
      </c>
      <c r="T111" s="4" t="str">
        <f aca="false">IF(S111&lt;tablas!$C$3,"No activa",INDEX(tablas!$B$3:$B$8,MATCH(S111,tablas!$C$3:$C$8,1)))</f>
        <v>No activa</v>
      </c>
      <c r="U111" s="15" t="n">
        <f aca="false">IF(S111&lt;tablas!$C$3,0,INDEX(tablas!$D$3:$D$8,MATCH(S111,tablas!$C$3:$C$8,1)))</f>
        <v>0</v>
      </c>
      <c r="V111" s="16" t="n">
        <f aca="false">N(base!AQ111)</f>
        <v>1200</v>
      </c>
      <c r="W111" s="7" t="n">
        <f aca="false">U111*V111</f>
        <v>0</v>
      </c>
      <c r="X111" s="4" t="str">
        <f aca="false">IF(R111&lt;tablas!$C$3,"No activa",INDEX(tablas!$B$3:$B$8,MATCH(R111,tablas!$C$3:$C$8,1)))</f>
        <v>No activa</v>
      </c>
      <c r="Y111" s="7" t="n">
        <f aca="false">IF(R111&lt;tablas!$C$3,0,INDEX(tablas!$D$3:$D$8,MATCH(R111,tablas!$C$3:$C$8,1)))*V111</f>
        <v>0</v>
      </c>
      <c r="Z111" s="4" t="str">
        <f aca="false">IF(S111&gt;=tablas!$C$3,"Activa",IF(S111&gt;=Parametros!$B$5,"Cerca","No activa"))</f>
        <v>No activa</v>
      </c>
      <c r="AA111" s="6" t="n">
        <f aca="false">MAX(0,tablas!$C$3-S111)</f>
        <v>0.8</v>
      </c>
    </row>
    <row r="112" customFormat="false" ht="15" hidden="false" customHeight="false" outlineLevel="0" collapsed="false">
      <c r="A112" s="14" t="str">
        <f aca="false">base!A112</f>
        <v>43937724-6</v>
      </c>
      <c r="B112" s="14" t="str">
        <f aca="false">base!E112</f>
        <v>Outbound Premium</v>
      </c>
      <c r="C112" s="14" t="str">
        <f aca="false">base!D112</f>
        <v>Outbound</v>
      </c>
      <c r="D112" s="14" t="str">
        <f aca="false">base!F112</f>
        <v>OMAR AGUILAR TELLO</v>
      </c>
      <c r="E112" s="14" t="str">
        <f aca="false">base!G112</f>
        <v>ROMULO CHAVEZ ACOSTA</v>
      </c>
      <c r="F112" s="14" t="n">
        <f aca="false">N(base!O112)</f>
        <v>1</v>
      </c>
      <c r="G112" s="4" t="n">
        <f aca="false">SUM(base!U112:AF112)+N(base!AK112)</f>
        <v>0</v>
      </c>
      <c r="H112" s="14" t="n">
        <f aca="false">N(base!S112)</f>
        <v>8</v>
      </c>
      <c r="I112" s="6" t="n">
        <f aca="false">IFERROR(G112/H112,0)</f>
        <v>0</v>
      </c>
      <c r="J112" s="4" t="n">
        <f aca="false">SUM(base!AG112:AJ112)</f>
        <v>0</v>
      </c>
      <c r="K112" s="5" t="n">
        <f aca="false">IFERROR((base!AG112+base!AH112)/(base!K112+base!L112),0)</f>
        <v>0</v>
      </c>
      <c r="L112" s="5" t="n">
        <f aca="false">MAX(N(base!AI112),K112*N(base!M112))</f>
        <v>0</v>
      </c>
      <c r="M112" s="5" t="n">
        <f aca="false">MAX(N(base!AJ112),K112*N(base!N112))</f>
        <v>0</v>
      </c>
      <c r="N112" s="5" t="n">
        <f aca="false">base!AG112+base!AH112+L112+M112</f>
        <v>0</v>
      </c>
      <c r="O112" s="14" t="n">
        <f aca="false">N(base!T112)</f>
        <v>3</v>
      </c>
      <c r="P112" s="6" t="n">
        <f aca="false">IFERROR(J112/O112,0)</f>
        <v>0</v>
      </c>
      <c r="Q112" s="6" t="n">
        <f aca="false">IFERROR(N112/O112,0)</f>
        <v>0</v>
      </c>
      <c r="R112" s="6" t="n">
        <f aca="false">Parametros!$B$3*I112+Parametros!$B$4*P112</f>
        <v>0</v>
      </c>
      <c r="S112" s="6" t="n">
        <f aca="false">Parametros!$B$3*I112+Parametros!$B$4*Q112</f>
        <v>0</v>
      </c>
      <c r="T112" s="4" t="str">
        <f aca="false">IF(S112&lt;tablas!$C$3,"No activa",INDEX(tablas!$B$3:$B$8,MATCH(S112,tablas!$C$3:$C$8,1)))</f>
        <v>No activa</v>
      </c>
      <c r="U112" s="15" t="n">
        <f aca="false">IF(S112&lt;tablas!$C$3,0,INDEX(tablas!$D$3:$D$8,MATCH(S112,tablas!$C$3:$C$8,1)))</f>
        <v>0</v>
      </c>
      <c r="V112" s="16" t="n">
        <f aca="false">N(base!AQ112)</f>
        <v>1200</v>
      </c>
      <c r="W112" s="7" t="n">
        <f aca="false">U112*V112</f>
        <v>0</v>
      </c>
      <c r="X112" s="4" t="str">
        <f aca="false">IF(R112&lt;tablas!$C$3,"No activa",INDEX(tablas!$B$3:$B$8,MATCH(R112,tablas!$C$3:$C$8,1)))</f>
        <v>No activa</v>
      </c>
      <c r="Y112" s="7" t="n">
        <f aca="false">IF(R112&lt;tablas!$C$3,0,INDEX(tablas!$D$3:$D$8,MATCH(R112,tablas!$C$3:$C$8,1)))*V112</f>
        <v>0</v>
      </c>
      <c r="Z112" s="4" t="str">
        <f aca="false">IF(S112&gt;=tablas!$C$3,"Activa",IF(S112&gt;=Parametros!$B$5,"Cerca","No activa"))</f>
        <v>No activa</v>
      </c>
      <c r="AA112" s="6" t="n">
        <f aca="false">MAX(0,tablas!$C$3-S112)</f>
        <v>0.8</v>
      </c>
    </row>
    <row r="113" customFormat="false" ht="15" hidden="false" customHeight="false" outlineLevel="0" collapsed="false">
      <c r="A113" s="14" t="str">
        <f aca="false">base!A113</f>
        <v>72792749-8</v>
      </c>
      <c r="B113" s="14" t="str">
        <f aca="false">base!E113</f>
        <v>Outbound Premium</v>
      </c>
      <c r="C113" s="14" t="str">
        <f aca="false">base!D113</f>
        <v>Outbound</v>
      </c>
      <c r="D113" s="14" t="str">
        <f aca="false">base!F113</f>
        <v>OMAR AGUILAR TELLO</v>
      </c>
      <c r="E113" s="14" t="str">
        <f aca="false">base!G113</f>
        <v>ROMULO CHAVEZ ACOSTA</v>
      </c>
      <c r="F113" s="14" t="n">
        <f aca="false">N(base!O113)</f>
        <v>1</v>
      </c>
      <c r="G113" s="4" t="n">
        <f aca="false">SUM(base!U113:AF113)+N(base!AK113)</f>
        <v>0</v>
      </c>
      <c r="H113" s="14" t="n">
        <f aca="false">N(base!S113)</f>
        <v>8</v>
      </c>
      <c r="I113" s="6" t="n">
        <f aca="false">IFERROR(G113/H113,0)</f>
        <v>0</v>
      </c>
      <c r="J113" s="4" t="n">
        <f aca="false">SUM(base!AG113:AJ113)</f>
        <v>2</v>
      </c>
      <c r="K113" s="5" t="n">
        <f aca="false">IFERROR((base!AG113+base!AH113)/(base!K113+base!L113),0)</f>
        <v>1</v>
      </c>
      <c r="L113" s="5" t="n">
        <f aca="false">MAX(N(base!AI113),K113*N(base!M113))</f>
        <v>1</v>
      </c>
      <c r="M113" s="5" t="n">
        <f aca="false">MAX(N(base!AJ113),K113*N(base!N113))</f>
        <v>1</v>
      </c>
      <c r="N113" s="5" t="n">
        <f aca="false">base!AG113+base!AH113+L113+M113</f>
        <v>4</v>
      </c>
      <c r="O113" s="14" t="n">
        <f aca="false">N(base!T113)</f>
        <v>3</v>
      </c>
      <c r="P113" s="6" t="n">
        <f aca="false">IFERROR(J113/O113,0)</f>
        <v>0.666666666666667</v>
      </c>
      <c r="Q113" s="6" t="n">
        <f aca="false">IFERROR(N113/O113,0)</f>
        <v>1.33333333333333</v>
      </c>
      <c r="R113" s="6" t="n">
        <f aca="false">Parametros!$B$3*I113+Parametros!$B$4*P113</f>
        <v>0.2</v>
      </c>
      <c r="S113" s="6" t="n">
        <f aca="false">Parametros!$B$3*I113+Parametros!$B$4*Q113</f>
        <v>0.4</v>
      </c>
      <c r="T113" s="4" t="str">
        <f aca="false">IF(S113&lt;tablas!$C$3,"No activa",INDEX(tablas!$B$3:$B$8,MATCH(S113,tablas!$C$3:$C$8,1)))</f>
        <v>No activa</v>
      </c>
      <c r="U113" s="15" t="n">
        <f aca="false">IF(S113&lt;tablas!$C$3,0,INDEX(tablas!$D$3:$D$8,MATCH(S113,tablas!$C$3:$C$8,1)))</f>
        <v>0</v>
      </c>
      <c r="V113" s="16" t="n">
        <f aca="false">N(base!AQ113)</f>
        <v>1200</v>
      </c>
      <c r="W113" s="7" t="n">
        <f aca="false">U113*V113</f>
        <v>0</v>
      </c>
      <c r="X113" s="4" t="str">
        <f aca="false">IF(R113&lt;tablas!$C$3,"No activa",INDEX(tablas!$B$3:$B$8,MATCH(R113,tablas!$C$3:$C$8,1)))</f>
        <v>No activa</v>
      </c>
      <c r="Y113" s="7" t="n">
        <f aca="false">IF(R113&lt;tablas!$C$3,0,INDEX(tablas!$D$3:$D$8,MATCH(R113,tablas!$C$3:$C$8,1)))*V113</f>
        <v>0</v>
      </c>
      <c r="Z113" s="4" t="str">
        <f aca="false">IF(S113&gt;=tablas!$C$3,"Activa",IF(S113&gt;=Parametros!$B$5,"Cerca","No activa"))</f>
        <v>No activa</v>
      </c>
      <c r="AA113" s="6" t="n">
        <f aca="false">MAX(0,tablas!$C$3-S113)</f>
        <v>0.4</v>
      </c>
    </row>
    <row r="114" customFormat="false" ht="15" hidden="false" customHeight="false" outlineLevel="0" collapsed="false">
      <c r="A114" s="14" t="str">
        <f aca="false">base!A114</f>
        <v>75508755-1</v>
      </c>
      <c r="B114" s="14" t="str">
        <f aca="false">base!E114</f>
        <v>Outbound Premium</v>
      </c>
      <c r="C114" s="14" t="str">
        <f aca="false">base!D114</f>
        <v>Outbound</v>
      </c>
      <c r="D114" s="14" t="str">
        <f aca="false">base!F114</f>
        <v>OMAR AGUILAR TELLO</v>
      </c>
      <c r="E114" s="14" t="str">
        <f aca="false">base!G114</f>
        <v>ROMULO CHAVEZ ACOSTA</v>
      </c>
      <c r="F114" s="14" t="n">
        <f aca="false">N(base!O114)</f>
        <v>1</v>
      </c>
      <c r="G114" s="4" t="n">
        <f aca="false">SUM(base!U114:AF114)+N(base!AK114)</f>
        <v>0</v>
      </c>
      <c r="H114" s="14" t="n">
        <f aca="false">N(base!S114)</f>
        <v>8</v>
      </c>
      <c r="I114" s="6" t="n">
        <f aca="false">IFERROR(G114/H114,0)</f>
        <v>0</v>
      </c>
      <c r="J114" s="4" t="n">
        <f aca="false">SUM(base!AG114:AJ114)</f>
        <v>2</v>
      </c>
      <c r="K114" s="5" t="n">
        <f aca="false">IFERROR((base!AG114+base!AH114)/(base!K114+base!L114),0)</f>
        <v>1</v>
      </c>
      <c r="L114" s="5" t="n">
        <f aca="false">MAX(N(base!AI114),K114*N(base!M114))</f>
        <v>1</v>
      </c>
      <c r="M114" s="5" t="n">
        <f aca="false">MAX(N(base!AJ114),K114*N(base!N114))</f>
        <v>1</v>
      </c>
      <c r="N114" s="5" t="n">
        <f aca="false">base!AG114+base!AH114+L114+M114</f>
        <v>4</v>
      </c>
      <c r="O114" s="14" t="n">
        <f aca="false">N(base!T114)</f>
        <v>3</v>
      </c>
      <c r="P114" s="6" t="n">
        <f aca="false">IFERROR(J114/O114,0)</f>
        <v>0.666666666666667</v>
      </c>
      <c r="Q114" s="6" t="n">
        <f aca="false">IFERROR(N114/O114,0)</f>
        <v>1.33333333333333</v>
      </c>
      <c r="R114" s="6" t="n">
        <f aca="false">Parametros!$B$3*I114+Parametros!$B$4*P114</f>
        <v>0.2</v>
      </c>
      <c r="S114" s="6" t="n">
        <f aca="false">Parametros!$B$3*I114+Parametros!$B$4*Q114</f>
        <v>0.4</v>
      </c>
      <c r="T114" s="4" t="str">
        <f aca="false">IF(S114&lt;tablas!$C$3,"No activa",INDEX(tablas!$B$3:$B$8,MATCH(S114,tablas!$C$3:$C$8,1)))</f>
        <v>No activa</v>
      </c>
      <c r="U114" s="15" t="n">
        <f aca="false">IF(S114&lt;tablas!$C$3,0,INDEX(tablas!$D$3:$D$8,MATCH(S114,tablas!$C$3:$C$8,1)))</f>
        <v>0</v>
      </c>
      <c r="V114" s="16" t="n">
        <f aca="false">N(base!AQ114)</f>
        <v>1200</v>
      </c>
      <c r="W114" s="7" t="n">
        <f aca="false">U114*V114</f>
        <v>0</v>
      </c>
      <c r="X114" s="4" t="str">
        <f aca="false">IF(R114&lt;tablas!$C$3,"No activa",INDEX(tablas!$B$3:$B$8,MATCH(R114,tablas!$C$3:$C$8,1)))</f>
        <v>No activa</v>
      </c>
      <c r="Y114" s="7" t="n">
        <f aca="false">IF(R114&lt;tablas!$C$3,0,INDEX(tablas!$D$3:$D$8,MATCH(R114,tablas!$C$3:$C$8,1)))*V114</f>
        <v>0</v>
      </c>
      <c r="Z114" s="4" t="str">
        <f aca="false">IF(S114&gt;=tablas!$C$3,"Activa",IF(S114&gt;=Parametros!$B$5,"Cerca","No activa"))</f>
        <v>No activa</v>
      </c>
      <c r="AA114" s="6" t="n">
        <f aca="false">MAX(0,tablas!$C$3-S114)</f>
        <v>0.4</v>
      </c>
    </row>
    <row r="115" customFormat="false" ht="15" hidden="false" customHeight="false" outlineLevel="0" collapsed="false">
      <c r="A115" s="14" t="str">
        <f aca="false">base!A115</f>
        <v>73222140-4</v>
      </c>
      <c r="B115" s="14" t="str">
        <f aca="false">base!E115</f>
        <v>Outbound Premium</v>
      </c>
      <c r="C115" s="14" t="str">
        <f aca="false">base!D115</f>
        <v>Outbound</v>
      </c>
      <c r="D115" s="14" t="str">
        <f aca="false">base!F115</f>
        <v>OMAR AGUILAR TELLO</v>
      </c>
      <c r="E115" s="14" t="str">
        <f aca="false">base!G115</f>
        <v>ROMULO CHAVEZ ACOSTA</v>
      </c>
      <c r="F115" s="14" t="n">
        <f aca="false">N(base!O115)</f>
        <v>1</v>
      </c>
      <c r="G115" s="4" t="n">
        <f aca="false">SUM(base!U115:AF115)+N(base!AK115)</f>
        <v>4</v>
      </c>
      <c r="H115" s="14" t="n">
        <f aca="false">N(base!S115)</f>
        <v>8</v>
      </c>
      <c r="I115" s="6" t="n">
        <f aca="false">IFERROR(G115/H115,0)</f>
        <v>0.5</v>
      </c>
      <c r="J115" s="4" t="n">
        <f aca="false">SUM(base!AG115:AJ115)</f>
        <v>1</v>
      </c>
      <c r="K115" s="5" t="n">
        <f aca="false">IFERROR((base!AG115+base!AH115)/(base!K115+base!L115),0)</f>
        <v>0.5</v>
      </c>
      <c r="L115" s="5" t="n">
        <f aca="false">MAX(N(base!AI115),K115*N(base!M115))</f>
        <v>0.5</v>
      </c>
      <c r="M115" s="5" t="n">
        <f aca="false">MAX(N(base!AJ115),K115*N(base!N115))</f>
        <v>0.5</v>
      </c>
      <c r="N115" s="5" t="n">
        <f aca="false">base!AG115+base!AH115+L115+M115</f>
        <v>2</v>
      </c>
      <c r="O115" s="14" t="n">
        <f aca="false">N(base!T115)</f>
        <v>6</v>
      </c>
      <c r="P115" s="6" t="n">
        <f aca="false">IFERROR(J115/O115,0)</f>
        <v>0.166666666666667</v>
      </c>
      <c r="Q115" s="6" t="n">
        <f aca="false">IFERROR(N115/O115,0)</f>
        <v>0.333333333333333</v>
      </c>
      <c r="R115" s="6" t="n">
        <f aca="false">Parametros!$B$3*I115+Parametros!$B$4*P115</f>
        <v>0.4</v>
      </c>
      <c r="S115" s="6" t="n">
        <f aca="false">Parametros!$B$3*I115+Parametros!$B$4*Q115</f>
        <v>0.45</v>
      </c>
      <c r="T115" s="4" t="str">
        <f aca="false">IF(S115&lt;tablas!$C$3,"No activa",INDEX(tablas!$B$3:$B$8,MATCH(S115,tablas!$C$3:$C$8,1)))</f>
        <v>No activa</v>
      </c>
      <c r="U115" s="15" t="n">
        <f aca="false">IF(S115&lt;tablas!$C$3,0,INDEX(tablas!$D$3:$D$8,MATCH(S115,tablas!$C$3:$C$8,1)))</f>
        <v>0</v>
      </c>
      <c r="V115" s="16" t="n">
        <f aca="false">N(base!AQ115)</f>
        <v>1200</v>
      </c>
      <c r="W115" s="7" t="n">
        <f aca="false">U115*V115</f>
        <v>0</v>
      </c>
      <c r="X115" s="4" t="str">
        <f aca="false">IF(R115&lt;tablas!$C$3,"No activa",INDEX(tablas!$B$3:$B$8,MATCH(R115,tablas!$C$3:$C$8,1)))</f>
        <v>No activa</v>
      </c>
      <c r="Y115" s="7" t="n">
        <f aca="false">IF(R115&lt;tablas!$C$3,0,INDEX(tablas!$D$3:$D$8,MATCH(R115,tablas!$C$3:$C$8,1)))*V115</f>
        <v>0</v>
      </c>
      <c r="Z115" s="4" t="str">
        <f aca="false">IF(S115&gt;=tablas!$C$3,"Activa",IF(S115&gt;=Parametros!$B$5,"Cerca","No activa"))</f>
        <v>No activa</v>
      </c>
      <c r="AA115" s="6" t="n">
        <f aca="false">MAX(0,tablas!$C$3-S115)</f>
        <v>0.35</v>
      </c>
    </row>
    <row r="116" customFormat="false" ht="15" hidden="false" customHeight="false" outlineLevel="0" collapsed="false">
      <c r="A116" s="14" t="str">
        <f aca="false">base!A116</f>
        <v>76014997-2</v>
      </c>
      <c r="B116" s="14" t="str">
        <f aca="false">base!E116</f>
        <v>Outbound Premium</v>
      </c>
      <c r="C116" s="14" t="str">
        <f aca="false">base!D116</f>
        <v>Outbound</v>
      </c>
      <c r="D116" s="14" t="str">
        <f aca="false">base!F116</f>
        <v>OMAR AGUILAR TELLO</v>
      </c>
      <c r="E116" s="14" t="str">
        <f aca="false">base!G116</f>
        <v>ROMULO CHAVEZ ACOSTA</v>
      </c>
      <c r="F116" s="14" t="n">
        <f aca="false">N(base!O116)</f>
        <v>1</v>
      </c>
      <c r="G116" s="4" t="n">
        <f aca="false">SUM(base!U116:AF116)+N(base!AK116)</f>
        <v>4</v>
      </c>
      <c r="H116" s="14" t="n">
        <f aca="false">N(base!S116)</f>
        <v>8</v>
      </c>
      <c r="I116" s="6" t="n">
        <f aca="false">IFERROR(G116/H116,0)</f>
        <v>0.5</v>
      </c>
      <c r="J116" s="4" t="n">
        <f aca="false">SUM(base!AG116:AJ116)</f>
        <v>0</v>
      </c>
      <c r="K116" s="5" t="n">
        <f aca="false">IFERROR((base!AG116+base!AH116)/(base!K116+base!L116),0)</f>
        <v>0</v>
      </c>
      <c r="L116" s="5" t="n">
        <f aca="false">MAX(N(base!AI116),K116*N(base!M116))</f>
        <v>0</v>
      </c>
      <c r="M116" s="5" t="n">
        <f aca="false">MAX(N(base!AJ116),K116*N(base!N116))</f>
        <v>0</v>
      </c>
      <c r="N116" s="5" t="n">
        <f aca="false">base!AG116+base!AH116+L116+M116</f>
        <v>0</v>
      </c>
      <c r="O116" s="14" t="n">
        <f aca="false">N(base!T116)</f>
        <v>5</v>
      </c>
      <c r="P116" s="6" t="n">
        <f aca="false">IFERROR(J116/O116,0)</f>
        <v>0</v>
      </c>
      <c r="Q116" s="6" t="n">
        <f aca="false">IFERROR(N116/O116,0)</f>
        <v>0</v>
      </c>
      <c r="R116" s="6" t="n">
        <f aca="false">Parametros!$B$3*I116+Parametros!$B$4*P116</f>
        <v>0.35</v>
      </c>
      <c r="S116" s="6" t="n">
        <f aca="false">Parametros!$B$3*I116+Parametros!$B$4*Q116</f>
        <v>0.35</v>
      </c>
      <c r="T116" s="4" t="str">
        <f aca="false">IF(S116&lt;tablas!$C$3,"No activa",INDEX(tablas!$B$3:$B$8,MATCH(S116,tablas!$C$3:$C$8,1)))</f>
        <v>No activa</v>
      </c>
      <c r="U116" s="15" t="n">
        <f aca="false">IF(S116&lt;tablas!$C$3,0,INDEX(tablas!$D$3:$D$8,MATCH(S116,tablas!$C$3:$C$8,1)))</f>
        <v>0</v>
      </c>
      <c r="V116" s="16" t="n">
        <f aca="false">N(base!AQ116)</f>
        <v>1200</v>
      </c>
      <c r="W116" s="7" t="n">
        <f aca="false">U116*V116</f>
        <v>0</v>
      </c>
      <c r="X116" s="4" t="str">
        <f aca="false">IF(R116&lt;tablas!$C$3,"No activa",INDEX(tablas!$B$3:$B$8,MATCH(R116,tablas!$C$3:$C$8,1)))</f>
        <v>No activa</v>
      </c>
      <c r="Y116" s="7" t="n">
        <f aca="false">IF(R116&lt;tablas!$C$3,0,INDEX(tablas!$D$3:$D$8,MATCH(R116,tablas!$C$3:$C$8,1)))*V116</f>
        <v>0</v>
      </c>
      <c r="Z116" s="4" t="str">
        <f aca="false">IF(S116&gt;=tablas!$C$3,"Activa",IF(S116&gt;=Parametros!$B$5,"Cerca","No activa"))</f>
        <v>No activa</v>
      </c>
      <c r="AA116" s="6" t="n">
        <f aca="false">MAX(0,tablas!$C$3-S116)</f>
        <v>0.45</v>
      </c>
    </row>
    <row r="117" customFormat="false" ht="15" hidden="false" customHeight="false" outlineLevel="0" collapsed="false">
      <c r="A117" s="14" t="str">
        <f aca="false">base!A117</f>
        <v>76906465-1</v>
      </c>
      <c r="B117" s="14" t="str">
        <f aca="false">base!E117</f>
        <v>Inbound Premium</v>
      </c>
      <c r="C117" s="14" t="str">
        <f aca="false">base!D117</f>
        <v>Inbound</v>
      </c>
      <c r="D117" s="14" t="str">
        <f aca="false">base!F117</f>
        <v>SHEYLA SANTIAGO MARTEL</v>
      </c>
      <c r="E117" s="14" t="str">
        <f aca="false">base!G117</f>
        <v>KARLA SUERO PALOMINO</v>
      </c>
      <c r="F117" s="14" t="n">
        <f aca="false">N(base!O117)</f>
        <v>1</v>
      </c>
      <c r="G117" s="4" t="n">
        <f aca="false">SUM(base!U117:AF117)+N(base!AK117)</f>
        <v>4</v>
      </c>
      <c r="H117" s="14" t="n">
        <f aca="false">N(base!S117)</f>
        <v>16</v>
      </c>
      <c r="I117" s="6" t="n">
        <f aca="false">IFERROR(G117/H117,0)</f>
        <v>0.25</v>
      </c>
      <c r="J117" s="4" t="n">
        <f aca="false">SUM(base!AG117:AJ117)</f>
        <v>5</v>
      </c>
      <c r="K117" s="5" t="n">
        <f aca="false">IFERROR((base!AG117+base!AH117)/(base!K117+base!L117),0)</f>
        <v>2.5</v>
      </c>
      <c r="L117" s="5" t="n">
        <f aca="false">MAX(N(base!AI117),K117*N(base!M117))</f>
        <v>2.5</v>
      </c>
      <c r="M117" s="5" t="n">
        <f aca="false">MAX(N(base!AJ117),K117*N(base!N117))</f>
        <v>2.5</v>
      </c>
      <c r="N117" s="5" t="n">
        <f aca="false">base!AG117+base!AH117+L117+M117</f>
        <v>10</v>
      </c>
      <c r="O117" s="14" t="n">
        <f aca="false">N(base!T117)</f>
        <v>4</v>
      </c>
      <c r="P117" s="6" t="n">
        <f aca="false">IFERROR(J117/O117,0)</f>
        <v>1.25</v>
      </c>
      <c r="Q117" s="6" t="n">
        <f aca="false">IFERROR(N117/O117,0)</f>
        <v>2.5</v>
      </c>
      <c r="R117" s="6" t="n">
        <f aca="false">Parametros!$B$3*I117+Parametros!$B$4*P117</f>
        <v>0.55</v>
      </c>
      <c r="S117" s="6" t="n">
        <f aca="false">Parametros!$B$3*I117+Parametros!$B$4*Q117</f>
        <v>0.925</v>
      </c>
      <c r="T117" s="4" t="str">
        <f aca="false">IF(S117&lt;tablas!$C$3,"No activa",INDEX(tablas!$B$3:$B$8,MATCH(S117,tablas!$C$3:$C$8,1)))</f>
        <v>N2</v>
      </c>
      <c r="U117" s="15" t="n">
        <f aca="false">IF(S117&lt;tablas!$C$3,0,INDEX(tablas!$D$3:$D$8,MATCH(S117,tablas!$C$3:$C$8,1)))</f>
        <v>0.9</v>
      </c>
      <c r="V117" s="16" t="n">
        <f aca="false">N(base!AQ117)</f>
        <v>1200</v>
      </c>
      <c r="W117" s="7" t="n">
        <f aca="false">U117*V117</f>
        <v>1080</v>
      </c>
      <c r="X117" s="4" t="str">
        <f aca="false">IF(R117&lt;tablas!$C$3,"No activa",INDEX(tablas!$B$3:$B$8,MATCH(R117,tablas!$C$3:$C$8,1)))</f>
        <v>No activa</v>
      </c>
      <c r="Y117" s="7" t="n">
        <f aca="false">IF(R117&lt;tablas!$C$3,0,INDEX(tablas!$D$3:$D$8,MATCH(R117,tablas!$C$3:$C$8,1)))*V117</f>
        <v>0</v>
      </c>
      <c r="Z117" s="4" t="str">
        <f aca="false">IF(S117&gt;=tablas!$C$3,"Activa",IF(S117&gt;=Parametros!$B$5,"Cerca","No activa"))</f>
        <v>Activa</v>
      </c>
      <c r="AA117" s="6" t="n">
        <f aca="false">MAX(0,tablas!$C$3-S117)</f>
        <v>0</v>
      </c>
    </row>
    <row r="118" customFormat="false" ht="15" hidden="false" customHeight="false" outlineLevel="0" collapsed="false">
      <c r="A118" s="14" t="str">
        <f aca="false">base!A118</f>
        <v>43618965-1</v>
      </c>
      <c r="B118" s="14" t="str">
        <f aca="false">base!E118</f>
        <v>Inbound Premium</v>
      </c>
      <c r="C118" s="14" t="str">
        <f aca="false">base!D118</f>
        <v>Inbound</v>
      </c>
      <c r="D118" s="14" t="str">
        <f aca="false">base!F118</f>
        <v>SHEYLA SANTIAGO MARTEL</v>
      </c>
      <c r="E118" s="14" t="str">
        <f aca="false">base!G118</f>
        <v>KARLA SUERO PALOMINO</v>
      </c>
      <c r="F118" s="14" t="n">
        <f aca="false">N(base!O118)</f>
        <v>1</v>
      </c>
      <c r="G118" s="4" t="n">
        <f aca="false">SUM(base!U118:AF118)+N(base!AK118)</f>
        <v>10</v>
      </c>
      <c r="H118" s="14" t="n">
        <f aca="false">N(base!S118)</f>
        <v>16</v>
      </c>
      <c r="I118" s="6" t="n">
        <f aca="false">IFERROR(G118/H118,0)</f>
        <v>0.625</v>
      </c>
      <c r="J118" s="4" t="n">
        <f aca="false">SUM(base!AG118:AJ118)</f>
        <v>4</v>
      </c>
      <c r="K118" s="5" t="n">
        <f aca="false">IFERROR((base!AG118+base!AH118)/(base!K118+base!L118),0)</f>
        <v>1.5</v>
      </c>
      <c r="L118" s="5" t="n">
        <f aca="false">MAX(N(base!AI118),K118*N(base!M118))</f>
        <v>1.5</v>
      </c>
      <c r="M118" s="5" t="n">
        <f aca="false">MAX(N(base!AJ118),K118*N(base!N118))</f>
        <v>1.5</v>
      </c>
      <c r="N118" s="5" t="n">
        <f aca="false">base!AG118+base!AH118+L118+M118</f>
        <v>6</v>
      </c>
      <c r="O118" s="14" t="n">
        <f aca="false">N(base!T118)</f>
        <v>5</v>
      </c>
      <c r="P118" s="6" t="n">
        <f aca="false">IFERROR(J118/O118,0)</f>
        <v>0.8</v>
      </c>
      <c r="Q118" s="6" t="n">
        <f aca="false">IFERROR(N118/O118,0)</f>
        <v>1.2</v>
      </c>
      <c r="R118" s="6" t="n">
        <f aca="false">Parametros!$B$3*I118+Parametros!$B$4*P118</f>
        <v>0.6775</v>
      </c>
      <c r="S118" s="6" t="n">
        <f aca="false">Parametros!$B$3*I118+Parametros!$B$4*Q118</f>
        <v>0.7975</v>
      </c>
      <c r="T118" s="4" t="str">
        <f aca="false">IF(S118&lt;tablas!$C$3,"No activa",INDEX(tablas!$B$3:$B$8,MATCH(S118,tablas!$C$3:$C$8,1)))</f>
        <v>No activa</v>
      </c>
      <c r="U118" s="15" t="n">
        <f aca="false">IF(S118&lt;tablas!$C$3,0,INDEX(tablas!$D$3:$D$8,MATCH(S118,tablas!$C$3:$C$8,1)))</f>
        <v>0</v>
      </c>
      <c r="V118" s="16" t="n">
        <f aca="false">N(base!AQ118)</f>
        <v>1200</v>
      </c>
      <c r="W118" s="7" t="n">
        <f aca="false">U118*V118</f>
        <v>0</v>
      </c>
      <c r="X118" s="4" t="str">
        <f aca="false">IF(R118&lt;tablas!$C$3,"No activa",INDEX(tablas!$B$3:$B$8,MATCH(R118,tablas!$C$3:$C$8,1)))</f>
        <v>No activa</v>
      </c>
      <c r="Y118" s="7" t="n">
        <f aca="false">IF(R118&lt;tablas!$C$3,0,INDEX(tablas!$D$3:$D$8,MATCH(R118,tablas!$C$3:$C$8,1)))*V118</f>
        <v>0</v>
      </c>
      <c r="Z118" s="4" t="str">
        <f aca="false">IF(S118&gt;=tablas!$C$3,"Activa",IF(S118&gt;=Parametros!$B$5,"Cerca","No activa"))</f>
        <v>Cerca</v>
      </c>
      <c r="AA118" s="6" t="n">
        <f aca="false">MAX(0,tablas!$C$3-S118)</f>
        <v>0.00250000000000006</v>
      </c>
    </row>
    <row r="119" customFormat="false" ht="15" hidden="false" customHeight="false" outlineLevel="0" collapsed="false">
      <c r="A119" s="14" t="str">
        <f aca="false">base!A119</f>
        <v>71540442-2</v>
      </c>
      <c r="B119" s="14" t="str">
        <f aca="false">base!E119</f>
        <v>Inbound Premium</v>
      </c>
      <c r="C119" s="14" t="str">
        <f aca="false">base!D119</f>
        <v>Inbound</v>
      </c>
      <c r="D119" s="14" t="str">
        <f aca="false">base!F119</f>
        <v>SHEYLA SANTIAGO MARTEL</v>
      </c>
      <c r="E119" s="14" t="str">
        <f aca="false">base!G119</f>
        <v>KARLA SUERO PALOMINO</v>
      </c>
      <c r="F119" s="14" t="n">
        <f aca="false">N(base!O119)</f>
        <v>1</v>
      </c>
      <c r="G119" s="4" t="n">
        <f aca="false">SUM(base!U119:AF119)+N(base!AK119)</f>
        <v>9</v>
      </c>
      <c r="H119" s="14" t="n">
        <f aca="false">N(base!S119)</f>
        <v>16</v>
      </c>
      <c r="I119" s="6" t="n">
        <f aca="false">IFERROR(G119/H119,0)</f>
        <v>0.5625</v>
      </c>
      <c r="J119" s="4" t="n">
        <f aca="false">SUM(base!AG119:AJ119)</f>
        <v>5</v>
      </c>
      <c r="K119" s="5" t="n">
        <f aca="false">IFERROR((base!AG119+base!AH119)/(base!K119+base!L119),0)</f>
        <v>2</v>
      </c>
      <c r="L119" s="5" t="n">
        <f aca="false">MAX(N(base!AI119),K119*N(base!M119))</f>
        <v>2</v>
      </c>
      <c r="M119" s="5" t="n">
        <f aca="false">MAX(N(base!AJ119),K119*N(base!N119))</f>
        <v>2</v>
      </c>
      <c r="N119" s="5" t="n">
        <f aca="false">base!AG119+base!AH119+L119+M119</f>
        <v>8</v>
      </c>
      <c r="O119" s="14" t="n">
        <f aca="false">N(base!T119)</f>
        <v>5</v>
      </c>
      <c r="P119" s="6" t="n">
        <f aca="false">IFERROR(J119/O119,0)</f>
        <v>1</v>
      </c>
      <c r="Q119" s="6" t="n">
        <f aca="false">IFERROR(N119/O119,0)</f>
        <v>1.6</v>
      </c>
      <c r="R119" s="6" t="n">
        <f aca="false">Parametros!$B$3*I119+Parametros!$B$4*P119</f>
        <v>0.69375</v>
      </c>
      <c r="S119" s="6" t="n">
        <f aca="false">Parametros!$B$3*I119+Parametros!$B$4*Q119</f>
        <v>0.87375</v>
      </c>
      <c r="T119" s="4" t="str">
        <f aca="false">IF(S119&lt;tablas!$C$3,"No activa",INDEX(tablas!$B$3:$B$8,MATCH(S119,tablas!$C$3:$C$8,1)))</f>
        <v>N1</v>
      </c>
      <c r="U119" s="15" t="n">
        <f aca="false">IF(S119&lt;tablas!$C$3,0,INDEX(tablas!$D$3:$D$8,MATCH(S119,tablas!$C$3:$C$8,1)))</f>
        <v>0.3</v>
      </c>
      <c r="V119" s="16" t="n">
        <f aca="false">N(base!AQ119)</f>
        <v>1200</v>
      </c>
      <c r="W119" s="7" t="n">
        <f aca="false">U119*V119</f>
        <v>360</v>
      </c>
      <c r="X119" s="4" t="str">
        <f aca="false">IF(R119&lt;tablas!$C$3,"No activa",INDEX(tablas!$B$3:$B$8,MATCH(R119,tablas!$C$3:$C$8,1)))</f>
        <v>No activa</v>
      </c>
      <c r="Y119" s="7" t="n">
        <f aca="false">IF(R119&lt;tablas!$C$3,0,INDEX(tablas!$D$3:$D$8,MATCH(R119,tablas!$C$3:$C$8,1)))*V119</f>
        <v>0</v>
      </c>
      <c r="Z119" s="4" t="str">
        <f aca="false">IF(S119&gt;=tablas!$C$3,"Activa",IF(S119&gt;=Parametros!$B$5,"Cerca","No activa"))</f>
        <v>Activa</v>
      </c>
      <c r="AA119" s="6" t="n">
        <f aca="false">MAX(0,tablas!$C$3-S119)</f>
        <v>0</v>
      </c>
    </row>
    <row r="120" customFormat="false" ht="15" hidden="false" customHeight="false" outlineLevel="0" collapsed="false">
      <c r="A120" s="14" t="str">
        <f aca="false">base!A120</f>
        <v>43953096-6</v>
      </c>
      <c r="B120" s="14" t="str">
        <f aca="false">base!E120</f>
        <v>Inbound Premium</v>
      </c>
      <c r="C120" s="14" t="str">
        <f aca="false">base!D120</f>
        <v>Inbound</v>
      </c>
      <c r="D120" s="14" t="str">
        <f aca="false">base!F120</f>
        <v>JESSICA CASTILLO PALOMINO</v>
      </c>
      <c r="E120" s="14" t="str">
        <f aca="false">base!G120</f>
        <v>KARLA SUERO PALOMINO</v>
      </c>
      <c r="F120" s="14" t="n">
        <f aca="false">N(base!O120)</f>
        <v>1</v>
      </c>
      <c r="G120" s="4" t="n">
        <f aca="false">SUM(base!U120:AF120)+N(base!AK120)</f>
        <v>12</v>
      </c>
      <c r="H120" s="14" t="n">
        <f aca="false">N(base!S120)</f>
        <v>16</v>
      </c>
      <c r="I120" s="6" t="n">
        <f aca="false">IFERROR(G120/H120,0)</f>
        <v>0.75</v>
      </c>
      <c r="J120" s="4" t="n">
        <f aca="false">SUM(base!AG120:AJ120)</f>
        <v>5</v>
      </c>
      <c r="K120" s="5" t="n">
        <f aca="false">IFERROR((base!AG120+base!AH120)/(base!K120+base!L120),0)</f>
        <v>2</v>
      </c>
      <c r="L120" s="5" t="n">
        <f aca="false">MAX(N(base!AI120),K120*N(base!M120))</f>
        <v>2</v>
      </c>
      <c r="M120" s="5" t="n">
        <f aca="false">MAX(N(base!AJ120),K120*N(base!N120))</f>
        <v>2</v>
      </c>
      <c r="N120" s="5" t="n">
        <f aca="false">base!AG120+base!AH120+L120+M120</f>
        <v>8</v>
      </c>
      <c r="O120" s="14" t="n">
        <f aca="false">N(base!T120)</f>
        <v>6</v>
      </c>
      <c r="P120" s="6" t="n">
        <f aca="false">IFERROR(J120/O120,0)</f>
        <v>0.833333333333333</v>
      </c>
      <c r="Q120" s="6" t="n">
        <f aca="false">IFERROR(N120/O120,0)</f>
        <v>1.33333333333333</v>
      </c>
      <c r="R120" s="6" t="n">
        <f aca="false">Parametros!$B$3*I120+Parametros!$B$4*P120</f>
        <v>0.775</v>
      </c>
      <c r="S120" s="6" t="n">
        <f aca="false">Parametros!$B$3*I120+Parametros!$B$4*Q120</f>
        <v>0.925</v>
      </c>
      <c r="T120" s="4" t="str">
        <f aca="false">IF(S120&lt;tablas!$C$3,"No activa",INDEX(tablas!$B$3:$B$8,MATCH(S120,tablas!$C$3:$C$8,1)))</f>
        <v>N2</v>
      </c>
      <c r="U120" s="15" t="n">
        <f aca="false">IF(S120&lt;tablas!$C$3,0,INDEX(tablas!$D$3:$D$8,MATCH(S120,tablas!$C$3:$C$8,1)))</f>
        <v>0.9</v>
      </c>
      <c r="V120" s="16" t="n">
        <f aca="false">N(base!AQ120)</f>
        <v>1200</v>
      </c>
      <c r="W120" s="7" t="n">
        <f aca="false">U120*V120</f>
        <v>1080</v>
      </c>
      <c r="X120" s="4" t="str">
        <f aca="false">IF(R120&lt;tablas!$C$3,"No activa",INDEX(tablas!$B$3:$B$8,MATCH(R120,tablas!$C$3:$C$8,1)))</f>
        <v>No activa</v>
      </c>
      <c r="Y120" s="7" t="n">
        <f aca="false">IF(R120&lt;tablas!$C$3,0,INDEX(tablas!$D$3:$D$8,MATCH(R120,tablas!$C$3:$C$8,1)))*V120</f>
        <v>0</v>
      </c>
      <c r="Z120" s="4" t="str">
        <f aca="false">IF(S120&gt;=tablas!$C$3,"Activa",IF(S120&gt;=Parametros!$B$5,"Cerca","No activa"))</f>
        <v>Activa</v>
      </c>
      <c r="AA120" s="6" t="n">
        <f aca="false">MAX(0,tablas!$C$3-S120)</f>
        <v>0</v>
      </c>
    </row>
    <row r="121" customFormat="false" ht="15" hidden="false" customHeight="false" outlineLevel="0" collapsed="false">
      <c r="A121" s="14" t="str">
        <f aca="false">base!A121</f>
        <v>47007242-9</v>
      </c>
      <c r="B121" s="14" t="str">
        <f aca="false">base!E121</f>
        <v>Inbound Premium</v>
      </c>
      <c r="C121" s="14" t="str">
        <f aca="false">base!D121</f>
        <v>Inbound</v>
      </c>
      <c r="D121" s="14" t="str">
        <f aca="false">base!F121</f>
        <v>SHEYLA SANTIAGO MARTEL</v>
      </c>
      <c r="E121" s="14" t="str">
        <f aca="false">base!G121</f>
        <v>KARLA SUERO PALOMINO</v>
      </c>
      <c r="F121" s="14" t="n">
        <f aca="false">N(base!O121)</f>
        <v>0.75</v>
      </c>
      <c r="G121" s="4" t="n">
        <f aca="false">SUM(base!U121:AF121)+N(base!AK121)</f>
        <v>12</v>
      </c>
      <c r="H121" s="14" t="n">
        <f aca="false">N(base!S121)</f>
        <v>12</v>
      </c>
      <c r="I121" s="6" t="n">
        <f aca="false">IFERROR(G121/H121,0)</f>
        <v>1</v>
      </c>
      <c r="J121" s="4" t="n">
        <f aca="false">SUM(base!AG121:AJ121)</f>
        <v>4</v>
      </c>
      <c r="K121" s="5" t="n">
        <f aca="false">IFERROR((base!AG121+base!AH121)/(base!K121+base!L121),0)</f>
        <v>4</v>
      </c>
      <c r="L121" s="5" t="n">
        <f aca="false">MAX(N(base!AI121),K121*N(base!M121))</f>
        <v>4</v>
      </c>
      <c r="M121" s="5" t="n">
        <f aca="false">MAX(N(base!AJ121),K121*N(base!N121))</f>
        <v>4</v>
      </c>
      <c r="N121" s="5" t="n">
        <f aca="false">base!AG121+base!AH121+L121+M121</f>
        <v>12</v>
      </c>
      <c r="O121" s="14" t="n">
        <f aca="false">N(base!T121)</f>
        <v>4</v>
      </c>
      <c r="P121" s="6" t="n">
        <f aca="false">IFERROR(J121/O121,0)</f>
        <v>1</v>
      </c>
      <c r="Q121" s="6" t="n">
        <f aca="false">IFERROR(N121/O121,0)</f>
        <v>3</v>
      </c>
      <c r="R121" s="6" t="n">
        <f aca="false">Parametros!$B$3*I121+Parametros!$B$4*P121</f>
        <v>1</v>
      </c>
      <c r="S121" s="6" t="n">
        <f aca="false">Parametros!$B$3*I121+Parametros!$B$4*Q121</f>
        <v>1.6</v>
      </c>
      <c r="T121" s="4" t="str">
        <f aca="false">IF(S121&lt;tablas!$C$3,"No activa",INDEX(tablas!$B$3:$B$8,MATCH(S121,tablas!$C$3:$C$8,1)))</f>
        <v>N6</v>
      </c>
      <c r="U121" s="15" t="n">
        <f aca="false">IF(S121&lt;tablas!$C$3,0,INDEX(tablas!$D$3:$D$8,MATCH(S121,tablas!$C$3:$C$8,1)))</f>
        <v>2</v>
      </c>
      <c r="V121" s="16" t="n">
        <f aca="false">N(base!AQ121)</f>
        <v>900</v>
      </c>
      <c r="W121" s="7" t="n">
        <f aca="false">U121*V121</f>
        <v>1800</v>
      </c>
      <c r="X121" s="4" t="str">
        <f aca="false">IF(R121&lt;tablas!$C$3,"No activa",INDEX(tablas!$B$3:$B$8,MATCH(R121,tablas!$C$3:$C$8,1)))</f>
        <v>N3</v>
      </c>
      <c r="Y121" s="7" t="n">
        <f aca="false">IF(R121&lt;tablas!$C$3,0,INDEX(tablas!$D$3:$D$8,MATCH(R121,tablas!$C$3:$C$8,1)))*V121</f>
        <v>900</v>
      </c>
      <c r="Z121" s="4" t="str">
        <f aca="false">IF(S121&gt;=tablas!$C$3,"Activa",IF(S121&gt;=Parametros!$B$5,"Cerca","No activa"))</f>
        <v>Activa</v>
      </c>
      <c r="AA121" s="6" t="n">
        <f aca="false">MAX(0,tablas!$C$3-S121)</f>
        <v>0</v>
      </c>
    </row>
    <row r="122" customFormat="false" ht="15" hidden="false" customHeight="false" outlineLevel="0" collapsed="false">
      <c r="A122" s="14" t="str">
        <f aca="false">base!A122</f>
        <v>40871164-4</v>
      </c>
      <c r="B122" s="14" t="str">
        <f aca="false">base!E122</f>
        <v>Inbound Premium</v>
      </c>
      <c r="C122" s="14" t="str">
        <f aca="false">base!D122</f>
        <v>Inbound</v>
      </c>
      <c r="D122" s="14" t="str">
        <f aca="false">base!F122</f>
        <v>SHEYLA SANTIAGO MARTEL</v>
      </c>
      <c r="E122" s="14" t="str">
        <f aca="false">base!G122</f>
        <v>KARLA SUERO PALOMINO</v>
      </c>
      <c r="F122" s="14" t="n">
        <f aca="false">N(base!O122)</f>
        <v>1</v>
      </c>
      <c r="G122" s="4" t="n">
        <f aca="false">SUM(base!U122:AF122)+N(base!AK122)</f>
        <v>16</v>
      </c>
      <c r="H122" s="14" t="n">
        <f aca="false">N(base!S122)</f>
        <v>16</v>
      </c>
      <c r="I122" s="6" t="n">
        <f aca="false">IFERROR(G122/H122,0)</f>
        <v>1</v>
      </c>
      <c r="J122" s="4" t="n">
        <f aca="false">SUM(base!AG122:AJ122)</f>
        <v>6</v>
      </c>
      <c r="K122" s="5" t="n">
        <f aca="false">IFERROR((base!AG122+base!AH122)/(base!K122+base!L122),0)</f>
        <v>3</v>
      </c>
      <c r="L122" s="5" t="n">
        <f aca="false">MAX(N(base!AI122),K122*N(base!M122))</f>
        <v>3</v>
      </c>
      <c r="M122" s="5" t="n">
        <f aca="false">MAX(N(base!AJ122),K122*N(base!N122))</f>
        <v>3</v>
      </c>
      <c r="N122" s="5" t="n">
        <f aca="false">base!AG122+base!AH122+L122+M122</f>
        <v>12</v>
      </c>
      <c r="O122" s="14" t="n">
        <f aca="false">N(base!T122)</f>
        <v>7</v>
      </c>
      <c r="P122" s="6" t="n">
        <f aca="false">IFERROR(J122/O122,0)</f>
        <v>0.857142857142857</v>
      </c>
      <c r="Q122" s="6" t="n">
        <f aca="false">IFERROR(N122/O122,0)</f>
        <v>1.71428571428571</v>
      </c>
      <c r="R122" s="6" t="n">
        <f aca="false">Parametros!$B$3*I122+Parametros!$B$4*P122</f>
        <v>0.957142857142857</v>
      </c>
      <c r="S122" s="6" t="n">
        <f aca="false">Parametros!$B$3*I122+Parametros!$B$4*Q122</f>
        <v>1.21428571428571</v>
      </c>
      <c r="T122" s="4" t="str">
        <f aca="false">IF(S122&lt;tablas!$C$3,"No activa",INDEX(tablas!$B$3:$B$8,MATCH(S122,tablas!$C$3:$C$8,1)))</f>
        <v>N5</v>
      </c>
      <c r="U122" s="15" t="n">
        <f aca="false">IF(S122&lt;tablas!$C$3,0,INDEX(tablas!$D$3:$D$8,MATCH(S122,tablas!$C$3:$C$8,1)))</f>
        <v>1.5</v>
      </c>
      <c r="V122" s="16" t="n">
        <f aca="false">N(base!AQ122)</f>
        <v>1200</v>
      </c>
      <c r="W122" s="7" t="n">
        <f aca="false">U122*V122</f>
        <v>1800</v>
      </c>
      <c r="X122" s="4" t="str">
        <f aca="false">IF(R122&lt;tablas!$C$3,"No activa",INDEX(tablas!$B$3:$B$8,MATCH(R122,tablas!$C$3:$C$8,1)))</f>
        <v>N2</v>
      </c>
      <c r="Y122" s="7" t="n">
        <f aca="false">IF(R122&lt;tablas!$C$3,0,INDEX(tablas!$D$3:$D$8,MATCH(R122,tablas!$C$3:$C$8,1)))*V122</f>
        <v>1080</v>
      </c>
      <c r="Z122" s="4" t="str">
        <f aca="false">IF(S122&gt;=tablas!$C$3,"Activa",IF(S122&gt;=Parametros!$B$5,"Cerca","No activa"))</f>
        <v>Activa</v>
      </c>
      <c r="AA122" s="6" t="n">
        <f aca="false">MAX(0,tablas!$C$3-S122)</f>
        <v>0</v>
      </c>
    </row>
    <row r="123" customFormat="false" ht="15" hidden="false" customHeight="false" outlineLevel="0" collapsed="false">
      <c r="A123" s="14" t="str">
        <f aca="false">base!A123</f>
        <v>45394093-0</v>
      </c>
      <c r="B123" s="14" t="str">
        <f aca="false">base!E123</f>
        <v>Inbound Premium</v>
      </c>
      <c r="C123" s="14" t="str">
        <f aca="false">base!D123</f>
        <v>Inbound</v>
      </c>
      <c r="D123" s="14" t="str">
        <f aca="false">base!F123</f>
        <v>SHEYLA SANTIAGO MARTEL</v>
      </c>
      <c r="E123" s="14" t="str">
        <f aca="false">base!G123</f>
        <v>KARLA SUERO PALOMINO</v>
      </c>
      <c r="F123" s="14" t="n">
        <f aca="false">N(base!O123)</f>
        <v>1</v>
      </c>
      <c r="G123" s="4" t="n">
        <f aca="false">SUM(base!U123:AF123)+N(base!AK123)</f>
        <v>10</v>
      </c>
      <c r="H123" s="14" t="n">
        <f aca="false">N(base!S123)</f>
        <v>16</v>
      </c>
      <c r="I123" s="6" t="n">
        <f aca="false">IFERROR(G123/H123,0)</f>
        <v>0.625</v>
      </c>
      <c r="J123" s="4" t="n">
        <f aca="false">SUM(base!AG123:AJ123)</f>
        <v>6</v>
      </c>
      <c r="K123" s="5" t="n">
        <f aca="false">IFERROR((base!AG123+base!AH123)/(base!K123+base!L123),0)</f>
        <v>2</v>
      </c>
      <c r="L123" s="5" t="n">
        <f aca="false">MAX(N(base!AI123),K123*N(base!M123))</f>
        <v>2</v>
      </c>
      <c r="M123" s="5" t="n">
        <f aca="false">MAX(N(base!AJ123),K123*N(base!N123))</f>
        <v>2</v>
      </c>
      <c r="N123" s="5" t="n">
        <f aca="false">base!AG123+base!AH123+L123+M123</f>
        <v>8</v>
      </c>
      <c r="O123" s="14" t="n">
        <f aca="false">N(base!T123)</f>
        <v>4</v>
      </c>
      <c r="P123" s="6" t="n">
        <f aca="false">IFERROR(J123/O123,0)</f>
        <v>1.5</v>
      </c>
      <c r="Q123" s="6" t="n">
        <f aca="false">IFERROR(N123/O123,0)</f>
        <v>2</v>
      </c>
      <c r="R123" s="6" t="n">
        <f aca="false">Parametros!$B$3*I123+Parametros!$B$4*P123</f>
        <v>0.8875</v>
      </c>
      <c r="S123" s="6" t="n">
        <f aca="false">Parametros!$B$3*I123+Parametros!$B$4*Q123</f>
        <v>1.0375</v>
      </c>
      <c r="T123" s="4" t="str">
        <f aca="false">IF(S123&lt;tablas!$C$3,"No activa",INDEX(tablas!$B$3:$B$8,MATCH(S123,tablas!$C$3:$C$8,1)))</f>
        <v>N3</v>
      </c>
      <c r="U123" s="15" t="n">
        <f aca="false">IF(S123&lt;tablas!$C$3,0,INDEX(tablas!$D$3:$D$8,MATCH(S123,tablas!$C$3:$C$8,1)))</f>
        <v>1</v>
      </c>
      <c r="V123" s="16" t="n">
        <f aca="false">N(base!AQ123)</f>
        <v>1200</v>
      </c>
      <c r="W123" s="7" t="n">
        <f aca="false">U123*V123</f>
        <v>1200</v>
      </c>
      <c r="X123" s="4" t="str">
        <f aca="false">IF(R123&lt;tablas!$C$3,"No activa",INDEX(tablas!$B$3:$B$8,MATCH(R123,tablas!$C$3:$C$8,1)))</f>
        <v>N1</v>
      </c>
      <c r="Y123" s="7" t="n">
        <f aca="false">IF(R123&lt;tablas!$C$3,0,INDEX(tablas!$D$3:$D$8,MATCH(R123,tablas!$C$3:$C$8,1)))*V123</f>
        <v>360</v>
      </c>
      <c r="Z123" s="4" t="str">
        <f aca="false">IF(S123&gt;=tablas!$C$3,"Activa",IF(S123&gt;=Parametros!$B$5,"Cerca","No activa"))</f>
        <v>Activa</v>
      </c>
      <c r="AA123" s="6" t="n">
        <f aca="false">MAX(0,tablas!$C$3-S123)</f>
        <v>0</v>
      </c>
    </row>
    <row r="124" customFormat="false" ht="15" hidden="false" customHeight="false" outlineLevel="0" collapsed="false">
      <c r="A124" s="14" t="str">
        <f aca="false">base!A124</f>
        <v>61833558-1</v>
      </c>
      <c r="B124" s="14" t="str">
        <f aca="false">base!E124</f>
        <v>Inbound Premium</v>
      </c>
      <c r="C124" s="14" t="str">
        <f aca="false">base!D124</f>
        <v>Inbound</v>
      </c>
      <c r="D124" s="14" t="str">
        <f aca="false">base!F124</f>
        <v>SHEYLA SANTIAGO MARTEL</v>
      </c>
      <c r="E124" s="14" t="str">
        <f aca="false">base!G124</f>
        <v>KARLA SUERO PALOMINO</v>
      </c>
      <c r="F124" s="14" t="n">
        <f aca="false">N(base!O124)</f>
        <v>1</v>
      </c>
      <c r="G124" s="4" t="n">
        <f aca="false">SUM(base!U124:AF124)+N(base!AK124)</f>
        <v>6</v>
      </c>
      <c r="H124" s="14" t="n">
        <f aca="false">N(base!S124)</f>
        <v>16</v>
      </c>
      <c r="I124" s="6" t="n">
        <f aca="false">IFERROR(G124/H124,0)</f>
        <v>0.375</v>
      </c>
      <c r="J124" s="4" t="n">
        <f aca="false">SUM(base!AG124:AJ124)</f>
        <v>3</v>
      </c>
      <c r="K124" s="5" t="n">
        <f aca="false">IFERROR((base!AG124+base!AH124)/(base!K124+base!L124),0)</f>
        <v>1.5</v>
      </c>
      <c r="L124" s="5" t="n">
        <f aca="false">MAX(N(base!AI124),K124*N(base!M124))</f>
        <v>1.5</v>
      </c>
      <c r="M124" s="5" t="n">
        <f aca="false">MAX(N(base!AJ124),K124*N(base!N124))</f>
        <v>1.5</v>
      </c>
      <c r="N124" s="5" t="n">
        <f aca="false">base!AG124+base!AH124+L124+M124</f>
        <v>6</v>
      </c>
      <c r="O124" s="14" t="n">
        <f aca="false">N(base!T124)</f>
        <v>6</v>
      </c>
      <c r="P124" s="6" t="n">
        <f aca="false">IFERROR(J124/O124,0)</f>
        <v>0.5</v>
      </c>
      <c r="Q124" s="6" t="n">
        <f aca="false">IFERROR(N124/O124,0)</f>
        <v>1</v>
      </c>
      <c r="R124" s="6" t="n">
        <f aca="false">Parametros!$B$3*I124+Parametros!$B$4*P124</f>
        <v>0.4125</v>
      </c>
      <c r="S124" s="6" t="n">
        <f aca="false">Parametros!$B$3*I124+Parametros!$B$4*Q124</f>
        <v>0.5625</v>
      </c>
      <c r="T124" s="4" t="str">
        <f aca="false">IF(S124&lt;tablas!$C$3,"No activa",INDEX(tablas!$B$3:$B$8,MATCH(S124,tablas!$C$3:$C$8,1)))</f>
        <v>No activa</v>
      </c>
      <c r="U124" s="15" t="n">
        <f aca="false">IF(S124&lt;tablas!$C$3,0,INDEX(tablas!$D$3:$D$8,MATCH(S124,tablas!$C$3:$C$8,1)))</f>
        <v>0</v>
      </c>
      <c r="V124" s="16" t="n">
        <f aca="false">N(base!AQ124)</f>
        <v>1200</v>
      </c>
      <c r="W124" s="7" t="n">
        <f aca="false">U124*V124</f>
        <v>0</v>
      </c>
      <c r="X124" s="4" t="str">
        <f aca="false">IF(R124&lt;tablas!$C$3,"No activa",INDEX(tablas!$B$3:$B$8,MATCH(R124,tablas!$C$3:$C$8,1)))</f>
        <v>No activa</v>
      </c>
      <c r="Y124" s="7" t="n">
        <f aca="false">IF(R124&lt;tablas!$C$3,0,INDEX(tablas!$D$3:$D$8,MATCH(R124,tablas!$C$3:$C$8,1)))*V124</f>
        <v>0</v>
      </c>
      <c r="Z124" s="4" t="str">
        <f aca="false">IF(S124&gt;=tablas!$C$3,"Activa",IF(S124&gt;=Parametros!$B$5,"Cerca","No activa"))</f>
        <v>No activa</v>
      </c>
      <c r="AA124" s="6" t="n">
        <f aca="false">MAX(0,tablas!$C$3-S124)</f>
        <v>0.2375</v>
      </c>
    </row>
    <row r="125" customFormat="false" ht="15" hidden="false" customHeight="false" outlineLevel="0" collapsed="false">
      <c r="A125" s="14" t="str">
        <f aca="false">base!A125</f>
        <v>76277712-1</v>
      </c>
      <c r="B125" s="14" t="str">
        <f aca="false">base!E125</f>
        <v>Inbound Premium</v>
      </c>
      <c r="C125" s="14" t="str">
        <f aca="false">base!D125</f>
        <v>Inbound</v>
      </c>
      <c r="D125" s="14" t="str">
        <f aca="false">base!F125</f>
        <v>SHEYLA SANTIAGO MARTEL</v>
      </c>
      <c r="E125" s="14" t="str">
        <f aca="false">base!G125</f>
        <v>KARLA SUERO PALOMINO</v>
      </c>
      <c r="F125" s="14" t="n">
        <f aca="false">N(base!O125)</f>
        <v>1</v>
      </c>
      <c r="G125" s="4" t="n">
        <f aca="false">SUM(base!U125:AF125)+N(base!AK125)</f>
        <v>15</v>
      </c>
      <c r="H125" s="14" t="n">
        <f aca="false">N(base!S125)</f>
        <v>16</v>
      </c>
      <c r="I125" s="6" t="n">
        <f aca="false">IFERROR(G125/H125,0)</f>
        <v>0.9375</v>
      </c>
      <c r="J125" s="4" t="n">
        <f aca="false">SUM(base!AG125:AJ125)</f>
        <v>5</v>
      </c>
      <c r="K125" s="5" t="n">
        <f aca="false">IFERROR((base!AG125+base!AH125)/(base!K125+base!L125),0)</f>
        <v>2.5</v>
      </c>
      <c r="L125" s="5" t="n">
        <f aca="false">MAX(N(base!AI125),K125*N(base!M125))</f>
        <v>2.5</v>
      </c>
      <c r="M125" s="5" t="n">
        <f aca="false">MAX(N(base!AJ125),K125*N(base!N125))</f>
        <v>2.5</v>
      </c>
      <c r="N125" s="5" t="n">
        <f aca="false">base!AG125+base!AH125+L125+M125</f>
        <v>10</v>
      </c>
      <c r="O125" s="14" t="n">
        <f aca="false">N(base!T125)</f>
        <v>5</v>
      </c>
      <c r="P125" s="6" t="n">
        <f aca="false">IFERROR(J125/O125,0)</f>
        <v>1</v>
      </c>
      <c r="Q125" s="6" t="n">
        <f aca="false">IFERROR(N125/O125,0)</f>
        <v>2</v>
      </c>
      <c r="R125" s="6" t="n">
        <f aca="false">Parametros!$B$3*I125+Parametros!$B$4*P125</f>
        <v>0.95625</v>
      </c>
      <c r="S125" s="6" t="n">
        <f aca="false">Parametros!$B$3*I125+Parametros!$B$4*Q125</f>
        <v>1.25625</v>
      </c>
      <c r="T125" s="4" t="str">
        <f aca="false">IF(S125&lt;tablas!$C$3,"No activa",INDEX(tablas!$B$3:$B$8,MATCH(S125,tablas!$C$3:$C$8,1)))</f>
        <v>N5</v>
      </c>
      <c r="U125" s="15" t="n">
        <f aca="false">IF(S125&lt;tablas!$C$3,0,INDEX(tablas!$D$3:$D$8,MATCH(S125,tablas!$C$3:$C$8,1)))</f>
        <v>1.5</v>
      </c>
      <c r="V125" s="16" t="n">
        <f aca="false">N(base!AQ125)</f>
        <v>1200</v>
      </c>
      <c r="W125" s="7" t="n">
        <f aca="false">U125*V125</f>
        <v>1800</v>
      </c>
      <c r="X125" s="4" t="str">
        <f aca="false">IF(R125&lt;tablas!$C$3,"No activa",INDEX(tablas!$B$3:$B$8,MATCH(R125,tablas!$C$3:$C$8,1)))</f>
        <v>N2</v>
      </c>
      <c r="Y125" s="7" t="n">
        <f aca="false">IF(R125&lt;tablas!$C$3,0,INDEX(tablas!$D$3:$D$8,MATCH(R125,tablas!$C$3:$C$8,1)))*V125</f>
        <v>1080</v>
      </c>
      <c r="Z125" s="4" t="str">
        <f aca="false">IF(S125&gt;=tablas!$C$3,"Activa",IF(S125&gt;=Parametros!$B$5,"Cerca","No activa"))</f>
        <v>Activa</v>
      </c>
      <c r="AA125" s="6" t="n">
        <f aca="false">MAX(0,tablas!$C$3-S125)</f>
        <v>0</v>
      </c>
    </row>
    <row r="126" customFormat="false" ht="15" hidden="false" customHeight="false" outlineLevel="0" collapsed="false">
      <c r="A126" s="14" t="str">
        <f aca="false">base!A126</f>
        <v>76400858-3</v>
      </c>
      <c r="B126" s="14" t="str">
        <f aca="false">base!E126</f>
        <v>Inbound Premium</v>
      </c>
      <c r="C126" s="14" t="str">
        <f aca="false">base!D126</f>
        <v>Inbound</v>
      </c>
      <c r="D126" s="14" t="str">
        <f aca="false">base!F126</f>
        <v>SHEYLA SANTIAGO MARTEL</v>
      </c>
      <c r="E126" s="14" t="str">
        <f aca="false">base!G126</f>
        <v>KARLA SUERO PALOMINO</v>
      </c>
      <c r="F126" s="14" t="n">
        <f aca="false">N(base!O126)</f>
        <v>1</v>
      </c>
      <c r="G126" s="4" t="n">
        <f aca="false">SUM(base!U126:AF126)+N(base!AK126)</f>
        <v>0</v>
      </c>
      <c r="H126" s="14" t="n">
        <f aca="false">N(base!S126)</f>
        <v>16</v>
      </c>
      <c r="I126" s="6" t="n">
        <f aca="false">IFERROR(G126/H126,0)</f>
        <v>0</v>
      </c>
      <c r="J126" s="4" t="n">
        <f aca="false">SUM(base!AG126:AJ126)</f>
        <v>8</v>
      </c>
      <c r="K126" s="5" t="n">
        <f aca="false">IFERROR((base!AG126+base!AH126)/(base!K126+base!L126),0)</f>
        <v>4</v>
      </c>
      <c r="L126" s="5" t="n">
        <f aca="false">MAX(N(base!AI126),K126*N(base!M126))</f>
        <v>4</v>
      </c>
      <c r="M126" s="5" t="n">
        <f aca="false">MAX(N(base!AJ126),K126*N(base!N126))</f>
        <v>4</v>
      </c>
      <c r="N126" s="5" t="n">
        <f aca="false">base!AG126+base!AH126+L126+M126</f>
        <v>16</v>
      </c>
      <c r="O126" s="14" t="n">
        <f aca="false">N(base!T126)</f>
        <v>5</v>
      </c>
      <c r="P126" s="6" t="n">
        <f aca="false">IFERROR(J126/O126,0)</f>
        <v>1.6</v>
      </c>
      <c r="Q126" s="6" t="n">
        <f aca="false">IFERROR(N126/O126,0)</f>
        <v>3.2</v>
      </c>
      <c r="R126" s="6" t="n">
        <f aca="false">Parametros!$B$3*I126+Parametros!$B$4*P126</f>
        <v>0.48</v>
      </c>
      <c r="S126" s="6" t="n">
        <f aca="false">Parametros!$B$3*I126+Parametros!$B$4*Q126</f>
        <v>0.96</v>
      </c>
      <c r="T126" s="4" t="str">
        <f aca="false">IF(S126&lt;tablas!$C$3,"No activa",INDEX(tablas!$B$3:$B$8,MATCH(S126,tablas!$C$3:$C$8,1)))</f>
        <v>N2</v>
      </c>
      <c r="U126" s="15" t="n">
        <f aca="false">IF(S126&lt;tablas!$C$3,0,INDEX(tablas!$D$3:$D$8,MATCH(S126,tablas!$C$3:$C$8,1)))</f>
        <v>0.9</v>
      </c>
      <c r="V126" s="16" t="n">
        <f aca="false">N(base!AQ126)</f>
        <v>1200</v>
      </c>
      <c r="W126" s="7" t="n">
        <f aca="false">U126*V126</f>
        <v>1080</v>
      </c>
      <c r="X126" s="4" t="str">
        <f aca="false">IF(R126&lt;tablas!$C$3,"No activa",INDEX(tablas!$B$3:$B$8,MATCH(R126,tablas!$C$3:$C$8,1)))</f>
        <v>No activa</v>
      </c>
      <c r="Y126" s="7" t="n">
        <f aca="false">IF(R126&lt;tablas!$C$3,0,INDEX(tablas!$D$3:$D$8,MATCH(R126,tablas!$C$3:$C$8,1)))*V126</f>
        <v>0</v>
      </c>
      <c r="Z126" s="4" t="str">
        <f aca="false">IF(S126&gt;=tablas!$C$3,"Activa",IF(S126&gt;=Parametros!$B$5,"Cerca","No activa"))</f>
        <v>Activa</v>
      </c>
      <c r="AA126" s="6" t="n">
        <f aca="false">MAX(0,tablas!$C$3-S126)</f>
        <v>0</v>
      </c>
    </row>
    <row r="127" customFormat="false" ht="15" hidden="false" customHeight="false" outlineLevel="0" collapsed="false">
      <c r="A127" s="14" t="str">
        <f aca="false">base!A127</f>
        <v>78546173-3</v>
      </c>
      <c r="B127" s="14" t="str">
        <f aca="false">base!E127</f>
        <v>Inbound Regular</v>
      </c>
      <c r="C127" s="14" t="str">
        <f aca="false">base!D127</f>
        <v>Inbound</v>
      </c>
      <c r="D127" s="14" t="str">
        <f aca="false">base!F127</f>
        <v>WILIAM GOMEZ NICOLAS</v>
      </c>
      <c r="E127" s="14" t="str">
        <f aca="false">base!G127</f>
        <v>YEISON ROJAS INGOL</v>
      </c>
      <c r="F127" s="14" t="n">
        <f aca="false">N(base!O127)</f>
        <v>1</v>
      </c>
      <c r="G127" s="4" t="n">
        <f aca="false">SUM(base!U127:AF127)+N(base!AK127)</f>
        <v>0</v>
      </c>
      <c r="H127" s="14" t="n">
        <f aca="false">N(base!S127)</f>
        <v>10</v>
      </c>
      <c r="I127" s="6" t="n">
        <f aca="false">IFERROR(G127/H127,0)</f>
        <v>0</v>
      </c>
      <c r="J127" s="4" t="n">
        <f aca="false">SUM(base!AG127:AJ127)</f>
        <v>4</v>
      </c>
      <c r="K127" s="5" t="n">
        <f aca="false">IFERROR((base!AG127+base!AH127)/(base!K127+base!L127),0)</f>
        <v>1.5</v>
      </c>
      <c r="L127" s="5" t="n">
        <f aca="false">MAX(N(base!AI127),K127*N(base!M127))</f>
        <v>1.5</v>
      </c>
      <c r="M127" s="5" t="n">
        <f aca="false">MAX(N(base!AJ127),K127*N(base!N127))</f>
        <v>1.5</v>
      </c>
      <c r="N127" s="5" t="n">
        <f aca="false">base!AG127+base!AH127+L127+M127</f>
        <v>6</v>
      </c>
      <c r="O127" s="14" t="n">
        <f aca="false">N(base!T127)</f>
        <v>4</v>
      </c>
      <c r="P127" s="6" t="n">
        <f aca="false">IFERROR(J127/O127,0)</f>
        <v>1</v>
      </c>
      <c r="Q127" s="6" t="n">
        <f aca="false">IFERROR(N127/O127,0)</f>
        <v>1.5</v>
      </c>
      <c r="R127" s="6" t="n">
        <f aca="false">Parametros!$B$3*I127+Parametros!$B$4*P127</f>
        <v>0.3</v>
      </c>
      <c r="S127" s="6" t="n">
        <f aca="false">Parametros!$B$3*I127+Parametros!$B$4*Q127</f>
        <v>0.45</v>
      </c>
      <c r="T127" s="4" t="str">
        <f aca="false">IF(S127&lt;tablas!$C$3,"No activa",INDEX(tablas!$B$3:$B$8,MATCH(S127,tablas!$C$3:$C$8,1)))</f>
        <v>No activa</v>
      </c>
      <c r="U127" s="15" t="n">
        <f aca="false">IF(S127&lt;tablas!$C$3,0,INDEX(tablas!$D$3:$D$8,MATCH(S127,tablas!$C$3:$C$8,1)))</f>
        <v>0</v>
      </c>
      <c r="V127" s="16" t="n">
        <f aca="false">N(base!AQ127)</f>
        <v>1200</v>
      </c>
      <c r="W127" s="7" t="n">
        <f aca="false">U127*V127</f>
        <v>0</v>
      </c>
      <c r="X127" s="4" t="str">
        <f aca="false">IF(R127&lt;tablas!$C$3,"No activa",INDEX(tablas!$B$3:$B$8,MATCH(R127,tablas!$C$3:$C$8,1)))</f>
        <v>No activa</v>
      </c>
      <c r="Y127" s="7" t="n">
        <f aca="false">IF(R127&lt;tablas!$C$3,0,INDEX(tablas!$D$3:$D$8,MATCH(R127,tablas!$C$3:$C$8,1)))*V127</f>
        <v>0</v>
      </c>
      <c r="Z127" s="4" t="str">
        <f aca="false">IF(S127&gt;=tablas!$C$3,"Activa",IF(S127&gt;=Parametros!$B$5,"Cerca","No activa"))</f>
        <v>No activa</v>
      </c>
      <c r="AA127" s="6" t="n">
        <f aca="false">MAX(0,tablas!$C$3-S127)</f>
        <v>0.35</v>
      </c>
    </row>
    <row r="128" customFormat="false" ht="15" hidden="false" customHeight="false" outlineLevel="0" collapsed="false">
      <c r="A128" s="14" t="str">
        <f aca="false">base!A128</f>
        <v>61394506-2</v>
      </c>
      <c r="B128" s="14" t="str">
        <f aca="false">base!E128</f>
        <v>Inbound Regular</v>
      </c>
      <c r="C128" s="14" t="str">
        <f aca="false">base!D128</f>
        <v>Inbound</v>
      </c>
      <c r="D128" s="14" t="str">
        <f aca="false">base!F128</f>
        <v>WILIAM GOMEZ NICOLAS</v>
      </c>
      <c r="E128" s="14" t="str">
        <f aca="false">base!G128</f>
        <v>YEISON ROJAS INGOL</v>
      </c>
      <c r="F128" s="14" t="n">
        <f aca="false">N(base!O128)</f>
        <v>1</v>
      </c>
      <c r="G128" s="4" t="n">
        <f aca="false">SUM(base!U128:AF128)+N(base!AK128)</f>
        <v>3</v>
      </c>
      <c r="H128" s="14" t="n">
        <f aca="false">N(base!S128)</f>
        <v>10</v>
      </c>
      <c r="I128" s="6" t="n">
        <f aca="false">IFERROR(G128/H128,0)</f>
        <v>0.3</v>
      </c>
      <c r="J128" s="4" t="n">
        <f aca="false">SUM(base!AG128:AJ128)</f>
        <v>2</v>
      </c>
      <c r="K128" s="5" t="n">
        <f aca="false">IFERROR((base!AG128+base!AH128)/(base!K128+base!L128),0)</f>
        <v>1</v>
      </c>
      <c r="L128" s="5" t="n">
        <f aca="false">MAX(N(base!AI128),K128*N(base!M128))</f>
        <v>1</v>
      </c>
      <c r="M128" s="5" t="n">
        <f aca="false">MAX(N(base!AJ128),K128*N(base!N128))</f>
        <v>1</v>
      </c>
      <c r="N128" s="5" t="n">
        <f aca="false">base!AG128+base!AH128+L128+M128</f>
        <v>4</v>
      </c>
      <c r="O128" s="14" t="n">
        <f aca="false">N(base!T128)</f>
        <v>4</v>
      </c>
      <c r="P128" s="6" t="n">
        <f aca="false">IFERROR(J128/O128,0)</f>
        <v>0.5</v>
      </c>
      <c r="Q128" s="6" t="n">
        <f aca="false">IFERROR(N128/O128,0)</f>
        <v>1</v>
      </c>
      <c r="R128" s="6" t="n">
        <f aca="false">Parametros!$B$3*I128+Parametros!$B$4*P128</f>
        <v>0.36</v>
      </c>
      <c r="S128" s="6" t="n">
        <f aca="false">Parametros!$B$3*I128+Parametros!$B$4*Q128</f>
        <v>0.51</v>
      </c>
      <c r="T128" s="4" t="str">
        <f aca="false">IF(S128&lt;tablas!$C$3,"No activa",INDEX(tablas!$B$3:$B$8,MATCH(S128,tablas!$C$3:$C$8,1)))</f>
        <v>No activa</v>
      </c>
      <c r="U128" s="15" t="n">
        <f aca="false">IF(S128&lt;tablas!$C$3,0,INDEX(tablas!$D$3:$D$8,MATCH(S128,tablas!$C$3:$C$8,1)))</f>
        <v>0</v>
      </c>
      <c r="V128" s="16" t="n">
        <f aca="false">N(base!AQ128)</f>
        <v>1200</v>
      </c>
      <c r="W128" s="7" t="n">
        <f aca="false">U128*V128</f>
        <v>0</v>
      </c>
      <c r="X128" s="4" t="str">
        <f aca="false">IF(R128&lt;tablas!$C$3,"No activa",INDEX(tablas!$B$3:$B$8,MATCH(R128,tablas!$C$3:$C$8,1)))</f>
        <v>No activa</v>
      </c>
      <c r="Y128" s="7" t="n">
        <f aca="false">IF(R128&lt;tablas!$C$3,0,INDEX(tablas!$D$3:$D$8,MATCH(R128,tablas!$C$3:$C$8,1)))*V128</f>
        <v>0</v>
      </c>
      <c r="Z128" s="4" t="str">
        <f aca="false">IF(S128&gt;=tablas!$C$3,"Activa",IF(S128&gt;=Parametros!$B$5,"Cerca","No activa"))</f>
        <v>No activa</v>
      </c>
      <c r="AA128" s="6" t="n">
        <f aca="false">MAX(0,tablas!$C$3-S128)</f>
        <v>0.29</v>
      </c>
    </row>
    <row r="129" customFormat="false" ht="15" hidden="false" customHeight="false" outlineLevel="0" collapsed="false">
      <c r="A129" s="14" t="str">
        <f aca="false">base!A129</f>
        <v>75488447-4</v>
      </c>
      <c r="B129" s="14" t="str">
        <f aca="false">base!E129</f>
        <v>Inbound Regular</v>
      </c>
      <c r="C129" s="14" t="str">
        <f aca="false">base!D129</f>
        <v>Inbound</v>
      </c>
      <c r="D129" s="14" t="str">
        <f aca="false">base!F129</f>
        <v>WILIAM GOMEZ NICOLAS</v>
      </c>
      <c r="E129" s="14" t="str">
        <f aca="false">base!G129</f>
        <v>YEISON ROJAS INGOL</v>
      </c>
      <c r="F129" s="14" t="n">
        <f aca="false">N(base!O129)</f>
        <v>1</v>
      </c>
      <c r="G129" s="4" t="n">
        <f aca="false">SUM(base!U129:AF129)+N(base!AK129)</f>
        <v>4</v>
      </c>
      <c r="H129" s="14" t="n">
        <f aca="false">N(base!S129)</f>
        <v>10</v>
      </c>
      <c r="I129" s="6" t="n">
        <f aca="false">IFERROR(G129/H129,0)</f>
        <v>0.4</v>
      </c>
      <c r="J129" s="4" t="n">
        <f aca="false">SUM(base!AG129:AJ129)</f>
        <v>1</v>
      </c>
      <c r="K129" s="5" t="n">
        <f aca="false">IFERROR((base!AG129+base!AH129)/(base!K129+base!L129),0)</f>
        <v>0.5</v>
      </c>
      <c r="L129" s="5" t="n">
        <f aca="false">MAX(N(base!AI129),K129*N(base!M129))</f>
        <v>0.5</v>
      </c>
      <c r="M129" s="5" t="n">
        <f aca="false">MAX(N(base!AJ129),K129*N(base!N129))</f>
        <v>0.5</v>
      </c>
      <c r="N129" s="5" t="n">
        <f aca="false">base!AG129+base!AH129+L129+M129</f>
        <v>2</v>
      </c>
      <c r="O129" s="14" t="n">
        <f aca="false">N(base!T129)</f>
        <v>4</v>
      </c>
      <c r="P129" s="6" t="n">
        <f aca="false">IFERROR(J129/O129,0)</f>
        <v>0.25</v>
      </c>
      <c r="Q129" s="6" t="n">
        <f aca="false">IFERROR(N129/O129,0)</f>
        <v>0.5</v>
      </c>
      <c r="R129" s="6" t="n">
        <f aca="false">Parametros!$B$3*I129+Parametros!$B$4*P129</f>
        <v>0.355</v>
      </c>
      <c r="S129" s="6" t="n">
        <f aca="false">Parametros!$B$3*I129+Parametros!$B$4*Q129</f>
        <v>0.43</v>
      </c>
      <c r="T129" s="4" t="str">
        <f aca="false">IF(S129&lt;tablas!$C$3,"No activa",INDEX(tablas!$B$3:$B$8,MATCH(S129,tablas!$C$3:$C$8,1)))</f>
        <v>No activa</v>
      </c>
      <c r="U129" s="15" t="n">
        <f aca="false">IF(S129&lt;tablas!$C$3,0,INDEX(tablas!$D$3:$D$8,MATCH(S129,tablas!$C$3:$C$8,1)))</f>
        <v>0</v>
      </c>
      <c r="V129" s="16" t="n">
        <f aca="false">N(base!AQ129)</f>
        <v>1200</v>
      </c>
      <c r="W129" s="7" t="n">
        <f aca="false">U129*V129</f>
        <v>0</v>
      </c>
      <c r="X129" s="4" t="str">
        <f aca="false">IF(R129&lt;tablas!$C$3,"No activa",INDEX(tablas!$B$3:$B$8,MATCH(R129,tablas!$C$3:$C$8,1)))</f>
        <v>No activa</v>
      </c>
      <c r="Y129" s="7" t="n">
        <f aca="false">IF(R129&lt;tablas!$C$3,0,INDEX(tablas!$D$3:$D$8,MATCH(R129,tablas!$C$3:$C$8,1)))*V129</f>
        <v>0</v>
      </c>
      <c r="Z129" s="4" t="str">
        <f aca="false">IF(S129&gt;=tablas!$C$3,"Activa",IF(S129&gt;=Parametros!$B$5,"Cerca","No activa"))</f>
        <v>No activa</v>
      </c>
      <c r="AA129" s="6" t="n">
        <f aca="false">MAX(0,tablas!$C$3-S129)</f>
        <v>0.37</v>
      </c>
    </row>
    <row r="130" customFormat="false" ht="15" hidden="false" customHeight="false" outlineLevel="0" collapsed="false">
      <c r="A130" s="14" t="str">
        <f aca="false">base!A130</f>
        <v>76213406-9</v>
      </c>
      <c r="B130" s="14" t="str">
        <f aca="false">base!E130</f>
        <v>Inbound Regular</v>
      </c>
      <c r="C130" s="14" t="str">
        <f aca="false">base!D130</f>
        <v>Inbound</v>
      </c>
      <c r="D130" s="14" t="str">
        <f aca="false">base!F130</f>
        <v>WILIAM GOMEZ NICOLAS</v>
      </c>
      <c r="E130" s="14" t="str">
        <f aca="false">base!G130</f>
        <v>YEISON ROJAS INGOL</v>
      </c>
      <c r="F130" s="14" t="n">
        <f aca="false">N(base!O130)</f>
        <v>1</v>
      </c>
      <c r="G130" s="4" t="n">
        <f aca="false">SUM(base!U130:AF130)+N(base!AK130)</f>
        <v>9</v>
      </c>
      <c r="H130" s="14" t="n">
        <f aca="false">N(base!S130)</f>
        <v>10</v>
      </c>
      <c r="I130" s="6" t="n">
        <f aca="false">IFERROR(G130/H130,0)</f>
        <v>0.9</v>
      </c>
      <c r="J130" s="4" t="n">
        <f aca="false">SUM(base!AG130:AJ130)</f>
        <v>2</v>
      </c>
      <c r="K130" s="5" t="n">
        <f aca="false">IFERROR((base!AG130+base!AH130)/(base!K130+base!L130),0)</f>
        <v>1</v>
      </c>
      <c r="L130" s="5" t="n">
        <f aca="false">MAX(N(base!AI130),K130*N(base!M130))</f>
        <v>1</v>
      </c>
      <c r="M130" s="5" t="n">
        <f aca="false">MAX(N(base!AJ130),K130*N(base!N130))</f>
        <v>1</v>
      </c>
      <c r="N130" s="5" t="n">
        <f aca="false">base!AG130+base!AH130+L130+M130</f>
        <v>4</v>
      </c>
      <c r="O130" s="14" t="n">
        <f aca="false">N(base!T130)</f>
        <v>4</v>
      </c>
      <c r="P130" s="6" t="n">
        <f aca="false">IFERROR(J130/O130,0)</f>
        <v>0.5</v>
      </c>
      <c r="Q130" s="6" t="n">
        <f aca="false">IFERROR(N130/O130,0)</f>
        <v>1</v>
      </c>
      <c r="R130" s="6" t="n">
        <f aca="false">Parametros!$B$3*I130+Parametros!$B$4*P130</f>
        <v>0.78</v>
      </c>
      <c r="S130" s="6" t="n">
        <f aca="false">Parametros!$B$3*I130+Parametros!$B$4*Q130</f>
        <v>0.93</v>
      </c>
      <c r="T130" s="4" t="str">
        <f aca="false">IF(S130&lt;tablas!$C$3,"No activa",INDEX(tablas!$B$3:$B$8,MATCH(S130,tablas!$C$3:$C$8,1)))</f>
        <v>N2</v>
      </c>
      <c r="U130" s="15" t="n">
        <f aca="false">IF(S130&lt;tablas!$C$3,0,INDEX(tablas!$D$3:$D$8,MATCH(S130,tablas!$C$3:$C$8,1)))</f>
        <v>0.9</v>
      </c>
      <c r="V130" s="16" t="n">
        <f aca="false">N(base!AQ130)</f>
        <v>1200</v>
      </c>
      <c r="W130" s="7" t="n">
        <f aca="false">U130*V130</f>
        <v>1080</v>
      </c>
      <c r="X130" s="4" t="str">
        <f aca="false">IF(R130&lt;tablas!$C$3,"No activa",INDEX(tablas!$B$3:$B$8,MATCH(R130,tablas!$C$3:$C$8,1)))</f>
        <v>No activa</v>
      </c>
      <c r="Y130" s="7" t="n">
        <f aca="false">IF(R130&lt;tablas!$C$3,0,INDEX(tablas!$D$3:$D$8,MATCH(R130,tablas!$C$3:$C$8,1)))*V130</f>
        <v>0</v>
      </c>
      <c r="Z130" s="4" t="str">
        <f aca="false">IF(S130&gt;=tablas!$C$3,"Activa",IF(S130&gt;=Parametros!$B$5,"Cerca","No activa"))</f>
        <v>Activa</v>
      </c>
      <c r="AA130" s="6" t="n">
        <f aca="false">MAX(0,tablas!$C$3-S130)</f>
        <v>0</v>
      </c>
    </row>
    <row r="131" customFormat="false" ht="15" hidden="false" customHeight="false" outlineLevel="0" collapsed="false">
      <c r="A131" s="14" t="str">
        <f aca="false">base!A131</f>
        <v>71289815-7</v>
      </c>
      <c r="B131" s="14" t="str">
        <f aca="false">base!E131</f>
        <v>Inbound Regular</v>
      </c>
      <c r="C131" s="14" t="str">
        <f aca="false">base!D131</f>
        <v>Inbound</v>
      </c>
      <c r="D131" s="14" t="str">
        <f aca="false">base!F131</f>
        <v>WILIAM GOMEZ NICOLAS</v>
      </c>
      <c r="E131" s="14" t="str">
        <f aca="false">base!G131</f>
        <v>YEISON ROJAS INGOL</v>
      </c>
      <c r="F131" s="14" t="n">
        <f aca="false">N(base!O131)</f>
        <v>1</v>
      </c>
      <c r="G131" s="4" t="n">
        <f aca="false">SUM(base!U131:AF131)+N(base!AK131)</f>
        <v>4</v>
      </c>
      <c r="H131" s="14" t="n">
        <f aca="false">N(base!S131)</f>
        <v>10</v>
      </c>
      <c r="I131" s="6" t="n">
        <f aca="false">IFERROR(G131/H131,0)</f>
        <v>0.4</v>
      </c>
      <c r="J131" s="4" t="n">
        <f aca="false">SUM(base!AG131:AJ131)</f>
        <v>1</v>
      </c>
      <c r="K131" s="5" t="n">
        <f aca="false">IFERROR((base!AG131+base!AH131)/(base!K131+base!L131),0)</f>
        <v>0.5</v>
      </c>
      <c r="L131" s="5" t="n">
        <f aca="false">MAX(N(base!AI131),K131*N(base!M131))</f>
        <v>0.5</v>
      </c>
      <c r="M131" s="5" t="n">
        <f aca="false">MAX(N(base!AJ131),K131*N(base!N131))</f>
        <v>0.5</v>
      </c>
      <c r="N131" s="5" t="n">
        <f aca="false">base!AG131+base!AH131+L131+M131</f>
        <v>2</v>
      </c>
      <c r="O131" s="14" t="n">
        <f aca="false">N(base!T131)</f>
        <v>4</v>
      </c>
      <c r="P131" s="6" t="n">
        <f aca="false">IFERROR(J131/O131,0)</f>
        <v>0.25</v>
      </c>
      <c r="Q131" s="6" t="n">
        <f aca="false">IFERROR(N131/O131,0)</f>
        <v>0.5</v>
      </c>
      <c r="R131" s="6" t="n">
        <f aca="false">Parametros!$B$3*I131+Parametros!$B$4*P131</f>
        <v>0.355</v>
      </c>
      <c r="S131" s="6" t="n">
        <f aca="false">Parametros!$B$3*I131+Parametros!$B$4*Q131</f>
        <v>0.43</v>
      </c>
      <c r="T131" s="4" t="str">
        <f aca="false">IF(S131&lt;tablas!$C$3,"No activa",INDEX(tablas!$B$3:$B$8,MATCH(S131,tablas!$C$3:$C$8,1)))</f>
        <v>No activa</v>
      </c>
      <c r="U131" s="15" t="n">
        <f aca="false">IF(S131&lt;tablas!$C$3,0,INDEX(tablas!$D$3:$D$8,MATCH(S131,tablas!$C$3:$C$8,1)))</f>
        <v>0</v>
      </c>
      <c r="V131" s="16" t="n">
        <f aca="false">N(base!AQ131)</f>
        <v>1200</v>
      </c>
      <c r="W131" s="7" t="n">
        <f aca="false">U131*V131</f>
        <v>0</v>
      </c>
      <c r="X131" s="4" t="str">
        <f aca="false">IF(R131&lt;tablas!$C$3,"No activa",INDEX(tablas!$B$3:$B$8,MATCH(R131,tablas!$C$3:$C$8,1)))</f>
        <v>No activa</v>
      </c>
      <c r="Y131" s="7" t="n">
        <f aca="false">IF(R131&lt;tablas!$C$3,0,INDEX(tablas!$D$3:$D$8,MATCH(R131,tablas!$C$3:$C$8,1)))*V131</f>
        <v>0</v>
      </c>
      <c r="Z131" s="4" t="str">
        <f aca="false">IF(S131&gt;=tablas!$C$3,"Activa",IF(S131&gt;=Parametros!$B$5,"Cerca","No activa"))</f>
        <v>No activa</v>
      </c>
      <c r="AA131" s="6" t="n">
        <f aca="false">MAX(0,tablas!$C$3-S131)</f>
        <v>0.37</v>
      </c>
    </row>
    <row r="132" customFormat="false" ht="15" hidden="false" customHeight="false" outlineLevel="0" collapsed="false">
      <c r="A132" s="14" t="str">
        <f aca="false">base!A132</f>
        <v>77903145-0</v>
      </c>
      <c r="B132" s="14" t="str">
        <f aca="false">base!E132</f>
        <v>Inbound Regular</v>
      </c>
      <c r="C132" s="14" t="str">
        <f aca="false">base!D132</f>
        <v>Inbound</v>
      </c>
      <c r="D132" s="14" t="str">
        <f aca="false">base!F132</f>
        <v>WILIAM GOMEZ NICOLAS</v>
      </c>
      <c r="E132" s="14" t="str">
        <f aca="false">base!G132</f>
        <v>YEISON ROJAS INGOL</v>
      </c>
      <c r="F132" s="14" t="n">
        <f aca="false">N(base!O132)</f>
        <v>1</v>
      </c>
      <c r="G132" s="4" t="n">
        <f aca="false">SUM(base!U132:AF132)+N(base!AK132)</f>
        <v>5</v>
      </c>
      <c r="H132" s="14" t="n">
        <f aca="false">N(base!S132)</f>
        <v>10</v>
      </c>
      <c r="I132" s="6" t="n">
        <f aca="false">IFERROR(G132/H132,0)</f>
        <v>0.5</v>
      </c>
      <c r="J132" s="4" t="n">
        <f aca="false">SUM(base!AG132:AJ132)</f>
        <v>1</v>
      </c>
      <c r="K132" s="5" t="n">
        <f aca="false">IFERROR((base!AG132+base!AH132)/(base!K132+base!L132),0)</f>
        <v>0.5</v>
      </c>
      <c r="L132" s="5" t="n">
        <f aca="false">MAX(N(base!AI132),K132*N(base!M132))</f>
        <v>0.5</v>
      </c>
      <c r="M132" s="5" t="n">
        <f aca="false">MAX(N(base!AJ132),K132*N(base!N132))</f>
        <v>0.5</v>
      </c>
      <c r="N132" s="5" t="n">
        <f aca="false">base!AG132+base!AH132+L132+M132</f>
        <v>2</v>
      </c>
      <c r="O132" s="14" t="n">
        <f aca="false">N(base!T132)</f>
        <v>4</v>
      </c>
      <c r="P132" s="6" t="n">
        <f aca="false">IFERROR(J132/O132,0)</f>
        <v>0.25</v>
      </c>
      <c r="Q132" s="6" t="n">
        <f aca="false">IFERROR(N132/O132,0)</f>
        <v>0.5</v>
      </c>
      <c r="R132" s="6" t="n">
        <f aca="false">Parametros!$B$3*I132+Parametros!$B$4*P132</f>
        <v>0.425</v>
      </c>
      <c r="S132" s="6" t="n">
        <f aca="false">Parametros!$B$3*I132+Parametros!$B$4*Q132</f>
        <v>0.5</v>
      </c>
      <c r="T132" s="4" t="str">
        <f aca="false">IF(S132&lt;tablas!$C$3,"No activa",INDEX(tablas!$B$3:$B$8,MATCH(S132,tablas!$C$3:$C$8,1)))</f>
        <v>No activa</v>
      </c>
      <c r="U132" s="15" t="n">
        <f aca="false">IF(S132&lt;tablas!$C$3,0,INDEX(tablas!$D$3:$D$8,MATCH(S132,tablas!$C$3:$C$8,1)))</f>
        <v>0</v>
      </c>
      <c r="V132" s="16" t="n">
        <f aca="false">N(base!AQ132)</f>
        <v>1200</v>
      </c>
      <c r="W132" s="7" t="n">
        <f aca="false">U132*V132</f>
        <v>0</v>
      </c>
      <c r="X132" s="4" t="str">
        <f aca="false">IF(R132&lt;tablas!$C$3,"No activa",INDEX(tablas!$B$3:$B$8,MATCH(R132,tablas!$C$3:$C$8,1)))</f>
        <v>No activa</v>
      </c>
      <c r="Y132" s="7" t="n">
        <f aca="false">IF(R132&lt;tablas!$C$3,0,INDEX(tablas!$D$3:$D$8,MATCH(R132,tablas!$C$3:$C$8,1)))*V132</f>
        <v>0</v>
      </c>
      <c r="Z132" s="4" t="str">
        <f aca="false">IF(S132&gt;=tablas!$C$3,"Activa",IF(S132&gt;=Parametros!$B$5,"Cerca","No activa"))</f>
        <v>No activa</v>
      </c>
      <c r="AA132" s="6" t="n">
        <f aca="false">MAX(0,tablas!$C$3-S132)</f>
        <v>0.3</v>
      </c>
    </row>
    <row r="133" customFormat="false" ht="15" hidden="false" customHeight="false" outlineLevel="0" collapsed="false">
      <c r="A133" s="14" t="str">
        <f aca="false">base!A133</f>
        <v>72721362-2</v>
      </c>
      <c r="B133" s="14" t="str">
        <f aca="false">base!E133</f>
        <v>Inbound Regular</v>
      </c>
      <c r="C133" s="14" t="str">
        <f aca="false">base!D133</f>
        <v>Inbound</v>
      </c>
      <c r="D133" s="14" t="str">
        <f aca="false">base!F133</f>
        <v>WILIAM GOMEZ NICOLAS</v>
      </c>
      <c r="E133" s="14" t="str">
        <f aca="false">base!G133</f>
        <v>YEISON ROJAS INGOL</v>
      </c>
      <c r="F133" s="14" t="n">
        <f aca="false">N(base!O133)</f>
        <v>1</v>
      </c>
      <c r="G133" s="4" t="n">
        <f aca="false">SUM(base!U133:AF133)+N(base!AK133)</f>
        <v>0</v>
      </c>
      <c r="H133" s="14" t="n">
        <f aca="false">N(base!S133)</f>
        <v>10</v>
      </c>
      <c r="I133" s="6" t="n">
        <f aca="false">IFERROR(G133/H133,0)</f>
        <v>0</v>
      </c>
      <c r="J133" s="4" t="n">
        <f aca="false">SUM(base!AG133:AJ133)</f>
        <v>3</v>
      </c>
      <c r="K133" s="5" t="n">
        <f aca="false">IFERROR((base!AG133+base!AH133)/(base!K133+base!L133),0)</f>
        <v>1.5</v>
      </c>
      <c r="L133" s="5" t="n">
        <f aca="false">MAX(N(base!AI133),K133*N(base!M133))</f>
        <v>1.5</v>
      </c>
      <c r="M133" s="5" t="n">
        <f aca="false">MAX(N(base!AJ133),K133*N(base!N133))</f>
        <v>1.5</v>
      </c>
      <c r="N133" s="5" t="n">
        <f aca="false">base!AG133+base!AH133+L133+M133</f>
        <v>6</v>
      </c>
      <c r="O133" s="14" t="n">
        <f aca="false">N(base!T133)</f>
        <v>4</v>
      </c>
      <c r="P133" s="6" t="n">
        <f aca="false">IFERROR(J133/O133,0)</f>
        <v>0.75</v>
      </c>
      <c r="Q133" s="6" t="n">
        <f aca="false">IFERROR(N133/O133,0)</f>
        <v>1.5</v>
      </c>
      <c r="R133" s="6" t="n">
        <f aca="false">Parametros!$B$3*I133+Parametros!$B$4*P133</f>
        <v>0.225</v>
      </c>
      <c r="S133" s="6" t="n">
        <f aca="false">Parametros!$B$3*I133+Parametros!$B$4*Q133</f>
        <v>0.45</v>
      </c>
      <c r="T133" s="4" t="str">
        <f aca="false">IF(S133&lt;tablas!$C$3,"No activa",INDEX(tablas!$B$3:$B$8,MATCH(S133,tablas!$C$3:$C$8,1)))</f>
        <v>No activa</v>
      </c>
      <c r="U133" s="15" t="n">
        <f aca="false">IF(S133&lt;tablas!$C$3,0,INDEX(tablas!$D$3:$D$8,MATCH(S133,tablas!$C$3:$C$8,1)))</f>
        <v>0</v>
      </c>
      <c r="V133" s="16" t="n">
        <f aca="false">N(base!AQ133)</f>
        <v>1200</v>
      </c>
      <c r="W133" s="7" t="n">
        <f aca="false">U133*V133</f>
        <v>0</v>
      </c>
      <c r="X133" s="4" t="str">
        <f aca="false">IF(R133&lt;tablas!$C$3,"No activa",INDEX(tablas!$B$3:$B$8,MATCH(R133,tablas!$C$3:$C$8,1)))</f>
        <v>No activa</v>
      </c>
      <c r="Y133" s="7" t="n">
        <f aca="false">IF(R133&lt;tablas!$C$3,0,INDEX(tablas!$D$3:$D$8,MATCH(R133,tablas!$C$3:$C$8,1)))*V133</f>
        <v>0</v>
      </c>
      <c r="Z133" s="4" t="str">
        <f aca="false">IF(S133&gt;=tablas!$C$3,"Activa",IF(S133&gt;=Parametros!$B$5,"Cerca","No activa"))</f>
        <v>No activa</v>
      </c>
      <c r="AA133" s="6" t="n">
        <f aca="false">MAX(0,tablas!$C$3-S133)</f>
        <v>0.35</v>
      </c>
    </row>
    <row r="134" customFormat="false" ht="15" hidden="false" customHeight="false" outlineLevel="0" collapsed="false">
      <c r="A134" s="14" t="str">
        <f aca="false">base!A134</f>
        <v>74825745-0</v>
      </c>
      <c r="B134" s="14" t="str">
        <f aca="false">base!E134</f>
        <v>Inbound Regular</v>
      </c>
      <c r="C134" s="14" t="str">
        <f aca="false">base!D134</f>
        <v>Inbound</v>
      </c>
      <c r="D134" s="14" t="str">
        <f aca="false">base!F134</f>
        <v>WILIAM GOMEZ NICOLAS</v>
      </c>
      <c r="E134" s="14" t="str">
        <f aca="false">base!G134</f>
        <v>YEISON ROJAS INGOL</v>
      </c>
      <c r="F134" s="14" t="n">
        <f aca="false">N(base!O134)</f>
        <v>0.25</v>
      </c>
      <c r="G134" s="4" t="n">
        <f aca="false">SUM(base!U134:AF134)+N(base!AK134)</f>
        <v>0</v>
      </c>
      <c r="H134" s="14" t="n">
        <f aca="false">N(base!S134)</f>
        <v>3</v>
      </c>
      <c r="I134" s="6" t="n">
        <f aca="false">IFERROR(G134/H134,0)</f>
        <v>0</v>
      </c>
      <c r="J134" s="4" t="n">
        <f aca="false">SUM(base!AG134:AJ134)</f>
        <v>0</v>
      </c>
      <c r="K134" s="5" t="n">
        <f aca="false">IFERROR((base!AG134+base!AH134)/(base!K134+base!L134),0)</f>
        <v>0</v>
      </c>
      <c r="L134" s="5" t="n">
        <f aca="false">MAX(N(base!AI134),K134*N(base!M134))</f>
        <v>0</v>
      </c>
      <c r="M134" s="5" t="n">
        <f aca="false">MAX(N(base!AJ134),K134*N(base!N134))</f>
        <v>0</v>
      </c>
      <c r="N134" s="5" t="n">
        <f aca="false">base!AG134+base!AH134+L134+M134</f>
        <v>0</v>
      </c>
      <c r="O134" s="14" t="n">
        <f aca="false">N(base!T134)</f>
        <v>1</v>
      </c>
      <c r="P134" s="6" t="n">
        <f aca="false">IFERROR(J134/O134,0)</f>
        <v>0</v>
      </c>
      <c r="Q134" s="6" t="n">
        <f aca="false">IFERROR(N134/O134,0)</f>
        <v>0</v>
      </c>
      <c r="R134" s="6" t="n">
        <f aca="false">Parametros!$B$3*I134+Parametros!$B$4*P134</f>
        <v>0</v>
      </c>
      <c r="S134" s="6" t="n">
        <f aca="false">Parametros!$B$3*I134+Parametros!$B$4*Q134</f>
        <v>0</v>
      </c>
      <c r="T134" s="4" t="str">
        <f aca="false">IF(S134&lt;tablas!$C$3,"No activa",INDEX(tablas!$B$3:$B$8,MATCH(S134,tablas!$C$3:$C$8,1)))</f>
        <v>No activa</v>
      </c>
      <c r="U134" s="15" t="n">
        <f aca="false">IF(S134&lt;tablas!$C$3,0,INDEX(tablas!$D$3:$D$8,MATCH(S134,tablas!$C$3:$C$8,1)))</f>
        <v>0</v>
      </c>
      <c r="V134" s="16" t="n">
        <f aca="false">N(base!AQ134)</f>
        <v>300</v>
      </c>
      <c r="W134" s="7" t="n">
        <f aca="false">U134*V134</f>
        <v>0</v>
      </c>
      <c r="X134" s="4" t="str">
        <f aca="false">IF(R134&lt;tablas!$C$3,"No activa",INDEX(tablas!$B$3:$B$8,MATCH(R134,tablas!$C$3:$C$8,1)))</f>
        <v>No activa</v>
      </c>
      <c r="Y134" s="7" t="n">
        <f aca="false">IF(R134&lt;tablas!$C$3,0,INDEX(tablas!$D$3:$D$8,MATCH(R134,tablas!$C$3:$C$8,1)))*V134</f>
        <v>0</v>
      </c>
      <c r="Z134" s="4" t="str">
        <f aca="false">IF(S134&gt;=tablas!$C$3,"Activa",IF(S134&gt;=Parametros!$B$5,"Cerca","No activa"))</f>
        <v>No activa</v>
      </c>
      <c r="AA134" s="6" t="n">
        <f aca="false">MAX(0,tablas!$C$3-S134)</f>
        <v>0.8</v>
      </c>
    </row>
    <row r="135" customFormat="false" ht="15" hidden="false" customHeight="false" outlineLevel="0" collapsed="false">
      <c r="A135" s="14" t="str">
        <f aca="false">base!A135</f>
        <v>45420917-1</v>
      </c>
      <c r="B135" s="14" t="str">
        <f aca="false">base!E135</f>
        <v>Inbound Regular</v>
      </c>
      <c r="C135" s="14" t="str">
        <f aca="false">base!D135</f>
        <v>Inbound</v>
      </c>
      <c r="D135" s="14" t="str">
        <f aca="false">base!F135</f>
        <v>WILIAM GOMEZ NICOLAS</v>
      </c>
      <c r="E135" s="14" t="str">
        <f aca="false">base!G135</f>
        <v>YEISON ROJAS INGOL</v>
      </c>
      <c r="F135" s="14" t="n">
        <f aca="false">N(base!O135)</f>
        <v>0.795454545454545</v>
      </c>
      <c r="G135" s="4" t="n">
        <f aca="false">SUM(base!U135:AF135)+N(base!AK135)</f>
        <v>0</v>
      </c>
      <c r="H135" s="14" t="n">
        <f aca="false">N(base!S135)</f>
        <v>8</v>
      </c>
      <c r="I135" s="6" t="n">
        <f aca="false">IFERROR(G135/H135,0)</f>
        <v>0</v>
      </c>
      <c r="J135" s="4" t="n">
        <f aca="false">SUM(base!AG135:AJ135)</f>
        <v>4</v>
      </c>
      <c r="K135" s="5" t="n">
        <f aca="false">IFERROR((base!AG135+base!AH135)/(base!K135+base!L135),0)</f>
        <v>1</v>
      </c>
      <c r="L135" s="5" t="n">
        <f aca="false">MAX(N(base!AI135),K135*N(base!M135))</f>
        <v>2</v>
      </c>
      <c r="M135" s="5" t="n">
        <f aca="false">MAX(N(base!AJ135),K135*N(base!N135))</f>
        <v>0.181818181818182</v>
      </c>
      <c r="N135" s="5" t="n">
        <f aca="false">base!AG135+base!AH135+L135+M135</f>
        <v>4.18181818181818</v>
      </c>
      <c r="O135" s="14" t="n">
        <f aca="false">N(base!T135)</f>
        <v>3</v>
      </c>
      <c r="P135" s="6" t="n">
        <f aca="false">IFERROR(J135/O135,0)</f>
        <v>1.33333333333333</v>
      </c>
      <c r="Q135" s="6" t="n">
        <f aca="false">IFERROR(N135/O135,0)</f>
        <v>1.39393939393939</v>
      </c>
      <c r="R135" s="6" t="n">
        <f aca="false">Parametros!$B$3*I135+Parametros!$B$4*P135</f>
        <v>0.4</v>
      </c>
      <c r="S135" s="6" t="n">
        <f aca="false">Parametros!$B$3*I135+Parametros!$B$4*Q135</f>
        <v>0.418181818181818</v>
      </c>
      <c r="T135" s="4" t="str">
        <f aca="false">IF(S135&lt;tablas!$C$3,"No activa",INDEX(tablas!$B$3:$B$8,MATCH(S135,tablas!$C$3:$C$8,1)))</f>
        <v>No activa</v>
      </c>
      <c r="U135" s="15" t="n">
        <f aca="false">IF(S135&lt;tablas!$C$3,0,INDEX(tablas!$D$3:$D$8,MATCH(S135,tablas!$C$3:$C$8,1)))</f>
        <v>0</v>
      </c>
      <c r="V135" s="16" t="n">
        <f aca="false">N(base!AQ135)</f>
        <v>955</v>
      </c>
      <c r="W135" s="7" t="n">
        <f aca="false">U135*V135</f>
        <v>0</v>
      </c>
      <c r="X135" s="4" t="str">
        <f aca="false">IF(R135&lt;tablas!$C$3,"No activa",INDEX(tablas!$B$3:$B$8,MATCH(R135,tablas!$C$3:$C$8,1)))</f>
        <v>No activa</v>
      </c>
      <c r="Y135" s="7" t="n">
        <f aca="false">IF(R135&lt;tablas!$C$3,0,INDEX(tablas!$D$3:$D$8,MATCH(R135,tablas!$C$3:$C$8,1)))*V135</f>
        <v>0</v>
      </c>
      <c r="Z135" s="4" t="str">
        <f aca="false">IF(S135&gt;=tablas!$C$3,"Activa",IF(S135&gt;=Parametros!$B$5,"Cerca","No activa"))</f>
        <v>No activa</v>
      </c>
      <c r="AA135" s="6" t="n">
        <f aca="false">MAX(0,tablas!$C$3-S135)</f>
        <v>0.381818181818182</v>
      </c>
    </row>
    <row r="136" customFormat="false" ht="15" hidden="false" customHeight="false" outlineLevel="0" collapsed="false">
      <c r="A136" s="14" t="str">
        <f aca="false">base!A136</f>
        <v>70302935-9</v>
      </c>
      <c r="B136" s="14" t="str">
        <f aca="false">base!E136</f>
        <v>Inbound Regular</v>
      </c>
      <c r="C136" s="14" t="str">
        <f aca="false">base!D136</f>
        <v>Inbound</v>
      </c>
      <c r="D136" s="14" t="str">
        <f aca="false">base!F136</f>
        <v>WILIAM GOMEZ NICOLAS</v>
      </c>
      <c r="E136" s="14" t="str">
        <f aca="false">base!G136</f>
        <v>YEISON ROJAS INGOL</v>
      </c>
      <c r="F136" s="14" t="n">
        <f aca="false">N(base!O136)</f>
        <v>1</v>
      </c>
      <c r="G136" s="4" t="n">
        <f aca="false">SUM(base!U136:AF136)+N(base!AK136)</f>
        <v>0</v>
      </c>
      <c r="H136" s="14" t="n">
        <f aca="false">N(base!S136)</f>
        <v>10</v>
      </c>
      <c r="I136" s="6" t="n">
        <f aca="false">IFERROR(G136/H136,0)</f>
        <v>0</v>
      </c>
      <c r="J136" s="4" t="n">
        <f aca="false">SUM(base!AG136:AJ136)</f>
        <v>6</v>
      </c>
      <c r="K136" s="5" t="n">
        <f aca="false">IFERROR((base!AG136+base!AH136)/(base!K136+base!L136),0)</f>
        <v>2.5</v>
      </c>
      <c r="L136" s="5" t="n">
        <f aca="false">MAX(N(base!AI136),K136*N(base!M136))</f>
        <v>2.5</v>
      </c>
      <c r="M136" s="5" t="n">
        <f aca="false">MAX(N(base!AJ136),K136*N(base!N136))</f>
        <v>2.5</v>
      </c>
      <c r="N136" s="5" t="n">
        <f aca="false">base!AG136+base!AH136+L136+M136</f>
        <v>10</v>
      </c>
      <c r="O136" s="14" t="n">
        <f aca="false">N(base!T136)</f>
        <v>5</v>
      </c>
      <c r="P136" s="6" t="n">
        <f aca="false">IFERROR(J136/O136,0)</f>
        <v>1.2</v>
      </c>
      <c r="Q136" s="6" t="n">
        <f aca="false">IFERROR(N136/O136,0)</f>
        <v>2</v>
      </c>
      <c r="R136" s="6" t="n">
        <f aca="false">Parametros!$B$3*I136+Parametros!$B$4*P136</f>
        <v>0.36</v>
      </c>
      <c r="S136" s="6" t="n">
        <f aca="false">Parametros!$B$3*I136+Parametros!$B$4*Q136</f>
        <v>0.6</v>
      </c>
      <c r="T136" s="4" t="str">
        <f aca="false">IF(S136&lt;tablas!$C$3,"No activa",INDEX(tablas!$B$3:$B$8,MATCH(S136,tablas!$C$3:$C$8,1)))</f>
        <v>No activa</v>
      </c>
      <c r="U136" s="15" t="n">
        <f aca="false">IF(S136&lt;tablas!$C$3,0,INDEX(tablas!$D$3:$D$8,MATCH(S136,tablas!$C$3:$C$8,1)))</f>
        <v>0</v>
      </c>
      <c r="V136" s="16" t="n">
        <f aca="false">N(base!AQ136)</f>
        <v>1200</v>
      </c>
      <c r="W136" s="7" t="n">
        <f aca="false">U136*V136</f>
        <v>0</v>
      </c>
      <c r="X136" s="4" t="str">
        <f aca="false">IF(R136&lt;tablas!$C$3,"No activa",INDEX(tablas!$B$3:$B$8,MATCH(R136,tablas!$C$3:$C$8,1)))</f>
        <v>No activa</v>
      </c>
      <c r="Y136" s="7" t="n">
        <f aca="false">IF(R136&lt;tablas!$C$3,0,INDEX(tablas!$D$3:$D$8,MATCH(R136,tablas!$C$3:$C$8,1)))*V136</f>
        <v>0</v>
      </c>
      <c r="Z136" s="4" t="str">
        <f aca="false">IF(S136&gt;=tablas!$C$3,"Activa",IF(S136&gt;=Parametros!$B$5,"Cerca","No activa"))</f>
        <v>No activa</v>
      </c>
      <c r="AA136" s="6" t="n">
        <f aca="false">MAX(0,tablas!$C$3-S136)</f>
        <v>0.2</v>
      </c>
    </row>
    <row r="137" customFormat="false" ht="15" hidden="false" customHeight="false" outlineLevel="0" collapsed="false">
      <c r="A137" s="14" t="str">
        <f aca="false">base!A137</f>
        <v>75628462-8</v>
      </c>
      <c r="B137" s="14" t="str">
        <f aca="false">base!E137</f>
        <v>Inbound Regular</v>
      </c>
      <c r="C137" s="14" t="str">
        <f aca="false">base!D137</f>
        <v>Inbound</v>
      </c>
      <c r="D137" s="14" t="str">
        <f aca="false">base!F137</f>
        <v>WILIAM GOMEZ NICOLAS</v>
      </c>
      <c r="E137" s="14" t="str">
        <f aca="false">base!G137</f>
        <v>YEISON ROJAS INGOL</v>
      </c>
      <c r="F137" s="14" t="n">
        <f aca="false">N(base!O137)</f>
        <v>1</v>
      </c>
      <c r="G137" s="4" t="n">
        <f aca="false">SUM(base!U137:AF137)+N(base!AK137)</f>
        <v>9</v>
      </c>
      <c r="H137" s="14" t="n">
        <f aca="false">N(base!S137)</f>
        <v>10</v>
      </c>
      <c r="I137" s="6" t="n">
        <f aca="false">IFERROR(G137/H137,0)</f>
        <v>0.9</v>
      </c>
      <c r="J137" s="4" t="n">
        <f aca="false">SUM(base!AG137:AJ137)</f>
        <v>2</v>
      </c>
      <c r="K137" s="5" t="n">
        <f aca="false">IFERROR((base!AG137+base!AH137)/(base!K137+base!L137),0)</f>
        <v>1</v>
      </c>
      <c r="L137" s="5" t="n">
        <f aca="false">MAX(N(base!AI137),K137*N(base!M137))</f>
        <v>1</v>
      </c>
      <c r="M137" s="5" t="n">
        <f aca="false">MAX(N(base!AJ137),K137*N(base!N137))</f>
        <v>1</v>
      </c>
      <c r="N137" s="5" t="n">
        <f aca="false">base!AG137+base!AH137+L137+M137</f>
        <v>4</v>
      </c>
      <c r="O137" s="14" t="n">
        <f aca="false">N(base!T137)</f>
        <v>5</v>
      </c>
      <c r="P137" s="6" t="n">
        <f aca="false">IFERROR(J137/O137,0)</f>
        <v>0.4</v>
      </c>
      <c r="Q137" s="6" t="n">
        <f aca="false">IFERROR(N137/O137,0)</f>
        <v>0.8</v>
      </c>
      <c r="R137" s="6" t="n">
        <f aca="false">Parametros!$B$3*I137+Parametros!$B$4*P137</f>
        <v>0.75</v>
      </c>
      <c r="S137" s="6" t="n">
        <f aca="false">Parametros!$B$3*I137+Parametros!$B$4*Q137</f>
        <v>0.87</v>
      </c>
      <c r="T137" s="4" t="str">
        <f aca="false">IF(S137&lt;tablas!$C$3,"No activa",INDEX(tablas!$B$3:$B$8,MATCH(S137,tablas!$C$3:$C$8,1)))</f>
        <v>N1</v>
      </c>
      <c r="U137" s="15" t="n">
        <f aca="false">IF(S137&lt;tablas!$C$3,0,INDEX(tablas!$D$3:$D$8,MATCH(S137,tablas!$C$3:$C$8,1)))</f>
        <v>0.3</v>
      </c>
      <c r="V137" s="16" t="n">
        <f aca="false">N(base!AQ137)</f>
        <v>1200</v>
      </c>
      <c r="W137" s="7" t="n">
        <f aca="false">U137*V137</f>
        <v>360</v>
      </c>
      <c r="X137" s="4" t="str">
        <f aca="false">IF(R137&lt;tablas!$C$3,"No activa",INDEX(tablas!$B$3:$B$8,MATCH(R137,tablas!$C$3:$C$8,1)))</f>
        <v>No activa</v>
      </c>
      <c r="Y137" s="7" t="n">
        <f aca="false">IF(R137&lt;tablas!$C$3,0,INDEX(tablas!$D$3:$D$8,MATCH(R137,tablas!$C$3:$C$8,1)))*V137</f>
        <v>0</v>
      </c>
      <c r="Z137" s="4" t="str">
        <f aca="false">IF(S137&gt;=tablas!$C$3,"Activa",IF(S137&gt;=Parametros!$B$5,"Cerca","No activa"))</f>
        <v>Activa</v>
      </c>
      <c r="AA137" s="6" t="n">
        <f aca="false">MAX(0,tablas!$C$3-S137)</f>
        <v>0</v>
      </c>
    </row>
    <row r="138" customFormat="false" ht="15" hidden="false" customHeight="false" outlineLevel="0" collapsed="false">
      <c r="A138" s="14" t="str">
        <f aca="false">base!A138</f>
        <v>46354849-3</v>
      </c>
      <c r="B138" s="14" t="str">
        <f aca="false">base!E138</f>
        <v>Outbound Regular</v>
      </c>
      <c r="C138" s="14" t="str">
        <f aca="false">base!D138</f>
        <v>Outbound</v>
      </c>
      <c r="D138" s="14" t="str">
        <f aca="false">base!F138</f>
        <v>YLBER BAYONA COSTILLA</v>
      </c>
      <c r="E138" s="14" t="str">
        <f aca="false">base!G138</f>
        <v>ROMULO CHAVEZ ACOSTA</v>
      </c>
      <c r="F138" s="14" t="n">
        <f aca="false">N(base!O138)</f>
        <v>1</v>
      </c>
      <c r="G138" s="4" t="n">
        <f aca="false">SUM(base!U138:AF138)+N(base!AK138)</f>
        <v>0</v>
      </c>
      <c r="H138" s="14" t="n">
        <f aca="false">N(base!S138)</f>
        <v>5</v>
      </c>
      <c r="I138" s="6" t="n">
        <f aca="false">IFERROR(G138/H138,0)</f>
        <v>0</v>
      </c>
      <c r="J138" s="4" t="n">
        <f aca="false">SUM(base!AG138:AJ138)</f>
        <v>0</v>
      </c>
      <c r="K138" s="5" t="n">
        <f aca="false">IFERROR((base!AG138+base!AH138)/(base!K138+base!L138),0)</f>
        <v>0</v>
      </c>
      <c r="L138" s="5" t="n">
        <f aca="false">MAX(N(base!AI138),K138*N(base!M138))</f>
        <v>0</v>
      </c>
      <c r="M138" s="5" t="n">
        <f aca="false">MAX(N(base!AJ138),K138*N(base!N138))</f>
        <v>0</v>
      </c>
      <c r="N138" s="5" t="n">
        <f aca="false">base!AG138+base!AH138+L138+M138</f>
        <v>0</v>
      </c>
      <c r="O138" s="14" t="n">
        <f aca="false">N(base!T138)</f>
        <v>2</v>
      </c>
      <c r="P138" s="6" t="n">
        <f aca="false">IFERROR(J138/O138,0)</f>
        <v>0</v>
      </c>
      <c r="Q138" s="6" t="n">
        <f aca="false">IFERROR(N138/O138,0)</f>
        <v>0</v>
      </c>
      <c r="R138" s="6" t="n">
        <f aca="false">Parametros!$B$3*I138+Parametros!$B$4*P138</f>
        <v>0</v>
      </c>
      <c r="S138" s="6" t="n">
        <f aca="false">Parametros!$B$3*I138+Parametros!$B$4*Q138</f>
        <v>0</v>
      </c>
      <c r="T138" s="4" t="str">
        <f aca="false">IF(S138&lt;tablas!$C$3,"No activa",INDEX(tablas!$B$3:$B$8,MATCH(S138,tablas!$C$3:$C$8,1)))</f>
        <v>No activa</v>
      </c>
      <c r="U138" s="15" t="n">
        <f aca="false">IF(S138&lt;tablas!$C$3,0,INDEX(tablas!$D$3:$D$8,MATCH(S138,tablas!$C$3:$C$8,1)))</f>
        <v>0</v>
      </c>
      <c r="V138" s="16" t="n">
        <f aca="false">N(base!AQ138)</f>
        <v>1200</v>
      </c>
      <c r="W138" s="7" t="n">
        <f aca="false">U138*V138</f>
        <v>0</v>
      </c>
      <c r="X138" s="4" t="str">
        <f aca="false">IF(R138&lt;tablas!$C$3,"No activa",INDEX(tablas!$B$3:$B$8,MATCH(R138,tablas!$C$3:$C$8,1)))</f>
        <v>No activa</v>
      </c>
      <c r="Y138" s="7" t="n">
        <f aca="false">IF(R138&lt;tablas!$C$3,0,INDEX(tablas!$D$3:$D$8,MATCH(R138,tablas!$C$3:$C$8,1)))*V138</f>
        <v>0</v>
      </c>
      <c r="Z138" s="4" t="str">
        <f aca="false">IF(S138&gt;=tablas!$C$3,"Activa",IF(S138&gt;=Parametros!$B$5,"Cerca","No activa"))</f>
        <v>No activa</v>
      </c>
      <c r="AA138" s="6" t="n">
        <f aca="false">MAX(0,tablas!$C$3-S138)</f>
        <v>0.8</v>
      </c>
    </row>
    <row r="139" customFormat="false" ht="15" hidden="false" customHeight="false" outlineLevel="0" collapsed="false">
      <c r="A139" s="14" t="str">
        <f aca="false">base!A139</f>
        <v>41129553-8</v>
      </c>
      <c r="B139" s="14" t="str">
        <f aca="false">base!E139</f>
        <v>Outbound Regular</v>
      </c>
      <c r="C139" s="14" t="str">
        <f aca="false">base!D139</f>
        <v>Outbound</v>
      </c>
      <c r="D139" s="14" t="str">
        <f aca="false">base!F139</f>
        <v>YLBER BAYONA COSTILLA</v>
      </c>
      <c r="E139" s="14" t="str">
        <f aca="false">base!G139</f>
        <v>ROMULO CHAVEZ ACOSTA</v>
      </c>
      <c r="F139" s="14" t="n">
        <f aca="false">N(base!O139)</f>
        <v>0.25</v>
      </c>
      <c r="G139" s="4" t="n">
        <f aca="false">SUM(base!U139:AF139)+N(base!AK139)</f>
        <v>0</v>
      </c>
      <c r="H139" s="14" t="n">
        <f aca="false">N(base!S139)</f>
        <v>2</v>
      </c>
      <c r="I139" s="6" t="n">
        <f aca="false">IFERROR(G139/H139,0)</f>
        <v>0</v>
      </c>
      <c r="J139" s="4" t="n">
        <f aca="false">SUM(base!AG139:AJ139)</f>
        <v>0</v>
      </c>
      <c r="K139" s="5" t="n">
        <f aca="false">IFERROR((base!AG139+base!AH139)/(base!K139+base!L139),0)</f>
        <v>0</v>
      </c>
      <c r="L139" s="5" t="n">
        <f aca="false">MAX(N(base!AI139),K139*N(base!M139))</f>
        <v>0</v>
      </c>
      <c r="M139" s="5" t="n">
        <f aca="false">MAX(N(base!AJ139),K139*N(base!N139))</f>
        <v>0</v>
      </c>
      <c r="N139" s="5" t="n">
        <f aca="false">base!AG139+base!AH139+L139+M139</f>
        <v>0</v>
      </c>
      <c r="O139" s="14" t="n">
        <f aca="false">N(base!T139)</f>
        <v>1</v>
      </c>
      <c r="P139" s="6" t="n">
        <f aca="false">IFERROR(J139/O139,0)</f>
        <v>0</v>
      </c>
      <c r="Q139" s="6" t="n">
        <f aca="false">IFERROR(N139/O139,0)</f>
        <v>0</v>
      </c>
      <c r="R139" s="6" t="n">
        <f aca="false">Parametros!$B$3*I139+Parametros!$B$4*P139</f>
        <v>0</v>
      </c>
      <c r="S139" s="6" t="n">
        <f aca="false">Parametros!$B$3*I139+Parametros!$B$4*Q139</f>
        <v>0</v>
      </c>
      <c r="T139" s="4" t="str">
        <f aca="false">IF(S139&lt;tablas!$C$3,"No activa",INDEX(tablas!$B$3:$B$8,MATCH(S139,tablas!$C$3:$C$8,1)))</f>
        <v>No activa</v>
      </c>
      <c r="U139" s="15" t="n">
        <f aca="false">IF(S139&lt;tablas!$C$3,0,INDEX(tablas!$D$3:$D$8,MATCH(S139,tablas!$C$3:$C$8,1)))</f>
        <v>0</v>
      </c>
      <c r="V139" s="16" t="n">
        <f aca="false">N(base!AQ139)</f>
        <v>300</v>
      </c>
      <c r="W139" s="7" t="n">
        <f aca="false">U139*V139</f>
        <v>0</v>
      </c>
      <c r="X139" s="4" t="str">
        <f aca="false">IF(R139&lt;tablas!$C$3,"No activa",INDEX(tablas!$B$3:$B$8,MATCH(R139,tablas!$C$3:$C$8,1)))</f>
        <v>No activa</v>
      </c>
      <c r="Y139" s="7" t="n">
        <f aca="false">IF(R139&lt;tablas!$C$3,0,INDEX(tablas!$D$3:$D$8,MATCH(R139,tablas!$C$3:$C$8,1)))*V139</f>
        <v>0</v>
      </c>
      <c r="Z139" s="4" t="str">
        <f aca="false">IF(S139&gt;=tablas!$C$3,"Activa",IF(S139&gt;=Parametros!$B$5,"Cerca","No activa"))</f>
        <v>No activa</v>
      </c>
      <c r="AA139" s="6" t="n">
        <f aca="false">MAX(0,tablas!$C$3-S139)</f>
        <v>0.8</v>
      </c>
    </row>
    <row r="140" customFormat="false" ht="15" hidden="false" customHeight="false" outlineLevel="0" collapsed="false">
      <c r="A140" s="14" t="str">
        <f aca="false">base!A140</f>
        <v>42867288-2</v>
      </c>
      <c r="B140" s="14" t="str">
        <f aca="false">base!E140</f>
        <v>Outbound Regular</v>
      </c>
      <c r="C140" s="14" t="str">
        <f aca="false">base!D140</f>
        <v>Outbound</v>
      </c>
      <c r="D140" s="14" t="str">
        <f aca="false">base!F140</f>
        <v>YLBER BAYONA COSTILLA</v>
      </c>
      <c r="E140" s="14" t="str">
        <f aca="false">base!G140</f>
        <v>ROMULO CHAVEZ ACOSTA</v>
      </c>
      <c r="F140" s="14" t="n">
        <f aca="false">N(base!O140)</f>
        <v>1</v>
      </c>
      <c r="G140" s="4" t="n">
        <f aca="false">SUM(base!U140:AF140)+N(base!AK140)</f>
        <v>0</v>
      </c>
      <c r="H140" s="14" t="n">
        <f aca="false">N(base!S140)</f>
        <v>5</v>
      </c>
      <c r="I140" s="6" t="n">
        <f aca="false">IFERROR(G140/H140,0)</f>
        <v>0</v>
      </c>
      <c r="J140" s="4" t="n">
        <f aca="false">SUM(base!AG140:AJ140)</f>
        <v>0</v>
      </c>
      <c r="K140" s="5" t="n">
        <f aca="false">IFERROR((base!AG140+base!AH140)/(base!K140+base!L140),0)</f>
        <v>0</v>
      </c>
      <c r="L140" s="5" t="n">
        <f aca="false">MAX(N(base!AI140),K140*N(base!M140))</f>
        <v>0</v>
      </c>
      <c r="M140" s="5" t="n">
        <f aca="false">MAX(N(base!AJ140),K140*N(base!N140))</f>
        <v>0</v>
      </c>
      <c r="N140" s="5" t="n">
        <f aca="false">base!AG140+base!AH140+L140+M140</f>
        <v>0</v>
      </c>
      <c r="O140" s="14" t="n">
        <f aca="false">N(base!T140)</f>
        <v>2</v>
      </c>
      <c r="P140" s="6" t="n">
        <f aca="false">IFERROR(J140/O140,0)</f>
        <v>0</v>
      </c>
      <c r="Q140" s="6" t="n">
        <f aca="false">IFERROR(N140/O140,0)</f>
        <v>0</v>
      </c>
      <c r="R140" s="6" t="n">
        <f aca="false">Parametros!$B$3*I140+Parametros!$B$4*P140</f>
        <v>0</v>
      </c>
      <c r="S140" s="6" t="n">
        <f aca="false">Parametros!$B$3*I140+Parametros!$B$4*Q140</f>
        <v>0</v>
      </c>
      <c r="T140" s="4" t="str">
        <f aca="false">IF(S140&lt;tablas!$C$3,"No activa",INDEX(tablas!$B$3:$B$8,MATCH(S140,tablas!$C$3:$C$8,1)))</f>
        <v>No activa</v>
      </c>
      <c r="U140" s="15" t="n">
        <f aca="false">IF(S140&lt;tablas!$C$3,0,INDEX(tablas!$D$3:$D$8,MATCH(S140,tablas!$C$3:$C$8,1)))</f>
        <v>0</v>
      </c>
      <c r="V140" s="16" t="n">
        <f aca="false">N(base!AQ140)</f>
        <v>1200</v>
      </c>
      <c r="W140" s="7" t="n">
        <f aca="false">U140*V140</f>
        <v>0</v>
      </c>
      <c r="X140" s="4" t="str">
        <f aca="false">IF(R140&lt;tablas!$C$3,"No activa",INDEX(tablas!$B$3:$B$8,MATCH(R140,tablas!$C$3:$C$8,1)))</f>
        <v>No activa</v>
      </c>
      <c r="Y140" s="7" t="n">
        <f aca="false">IF(R140&lt;tablas!$C$3,0,INDEX(tablas!$D$3:$D$8,MATCH(R140,tablas!$C$3:$C$8,1)))*V140</f>
        <v>0</v>
      </c>
      <c r="Z140" s="4" t="str">
        <f aca="false">IF(S140&gt;=tablas!$C$3,"Activa",IF(S140&gt;=Parametros!$B$5,"Cerca","No activa"))</f>
        <v>No activa</v>
      </c>
      <c r="AA140" s="6" t="n">
        <f aca="false">MAX(0,tablas!$C$3-S140)</f>
        <v>0.8</v>
      </c>
    </row>
    <row r="141" customFormat="false" ht="15" hidden="false" customHeight="false" outlineLevel="0" collapsed="false">
      <c r="A141" s="14" t="str">
        <f aca="false">base!A141</f>
        <v>75913755-3</v>
      </c>
      <c r="B141" s="14" t="str">
        <f aca="false">base!E141</f>
        <v>Outbound Regular</v>
      </c>
      <c r="C141" s="14" t="str">
        <f aca="false">base!D141</f>
        <v>Outbound</v>
      </c>
      <c r="D141" s="14" t="str">
        <f aca="false">base!F141</f>
        <v>YLBER BAYONA COSTILLA</v>
      </c>
      <c r="E141" s="14" t="str">
        <f aca="false">base!G141</f>
        <v>ROMULO CHAVEZ ACOSTA</v>
      </c>
      <c r="F141" s="14" t="n">
        <f aca="false">N(base!O141)</f>
        <v>1</v>
      </c>
      <c r="G141" s="4" t="n">
        <f aca="false">SUM(base!U141:AF141)+N(base!AK141)</f>
        <v>0</v>
      </c>
      <c r="H141" s="14" t="n">
        <f aca="false">N(base!S141)</f>
        <v>5</v>
      </c>
      <c r="I141" s="6" t="n">
        <f aca="false">IFERROR(G141/H141,0)</f>
        <v>0</v>
      </c>
      <c r="J141" s="4" t="n">
        <f aca="false">SUM(base!AG141:AJ141)</f>
        <v>1</v>
      </c>
      <c r="K141" s="5" t="n">
        <f aca="false">IFERROR((base!AG141+base!AH141)/(base!K141+base!L141),0)</f>
        <v>0.5</v>
      </c>
      <c r="L141" s="5" t="n">
        <f aca="false">MAX(N(base!AI141),K141*N(base!M141))</f>
        <v>0.5</v>
      </c>
      <c r="M141" s="5" t="n">
        <f aca="false">MAX(N(base!AJ141),K141*N(base!N141))</f>
        <v>0.5</v>
      </c>
      <c r="N141" s="5" t="n">
        <f aca="false">base!AG141+base!AH141+L141+M141</f>
        <v>2</v>
      </c>
      <c r="O141" s="14" t="n">
        <f aca="false">N(base!T141)</f>
        <v>2</v>
      </c>
      <c r="P141" s="6" t="n">
        <f aca="false">IFERROR(J141/O141,0)</f>
        <v>0.5</v>
      </c>
      <c r="Q141" s="6" t="n">
        <f aca="false">IFERROR(N141/O141,0)</f>
        <v>1</v>
      </c>
      <c r="R141" s="6" t="n">
        <f aca="false">Parametros!$B$3*I141+Parametros!$B$4*P141</f>
        <v>0.15</v>
      </c>
      <c r="S141" s="6" t="n">
        <f aca="false">Parametros!$B$3*I141+Parametros!$B$4*Q141</f>
        <v>0.3</v>
      </c>
      <c r="T141" s="4" t="str">
        <f aca="false">IF(S141&lt;tablas!$C$3,"No activa",INDEX(tablas!$B$3:$B$8,MATCH(S141,tablas!$C$3:$C$8,1)))</f>
        <v>No activa</v>
      </c>
      <c r="U141" s="15" t="n">
        <f aca="false">IF(S141&lt;tablas!$C$3,0,INDEX(tablas!$D$3:$D$8,MATCH(S141,tablas!$C$3:$C$8,1)))</f>
        <v>0</v>
      </c>
      <c r="V141" s="16" t="n">
        <f aca="false">N(base!AQ141)</f>
        <v>1200</v>
      </c>
      <c r="W141" s="7" t="n">
        <f aca="false">U141*V141</f>
        <v>0</v>
      </c>
      <c r="X141" s="4" t="str">
        <f aca="false">IF(R141&lt;tablas!$C$3,"No activa",INDEX(tablas!$B$3:$B$8,MATCH(R141,tablas!$C$3:$C$8,1)))</f>
        <v>No activa</v>
      </c>
      <c r="Y141" s="7" t="n">
        <f aca="false">IF(R141&lt;tablas!$C$3,0,INDEX(tablas!$D$3:$D$8,MATCH(R141,tablas!$C$3:$C$8,1)))*V141</f>
        <v>0</v>
      </c>
      <c r="Z141" s="4" t="str">
        <f aca="false">IF(S141&gt;=tablas!$C$3,"Activa",IF(S141&gt;=Parametros!$B$5,"Cerca","No activa"))</f>
        <v>No activa</v>
      </c>
      <c r="AA141" s="6" t="n">
        <f aca="false">MAX(0,tablas!$C$3-S141)</f>
        <v>0.5</v>
      </c>
    </row>
    <row r="142" customFormat="false" ht="15" hidden="false" customHeight="false" outlineLevel="0" collapsed="false">
      <c r="A142" s="14" t="str">
        <f aca="false">base!A142</f>
        <v>71009427-1</v>
      </c>
      <c r="B142" s="14" t="str">
        <f aca="false">base!E142</f>
        <v>Outbound Regular</v>
      </c>
      <c r="C142" s="14" t="str">
        <f aca="false">base!D142</f>
        <v>Outbound</v>
      </c>
      <c r="D142" s="14" t="str">
        <f aca="false">base!F142</f>
        <v>GRECIA LANDIVAR PEREZ</v>
      </c>
      <c r="E142" s="14" t="str">
        <f aca="false">base!G142</f>
        <v>ROMULO CHAVEZ ACOSTA</v>
      </c>
      <c r="F142" s="14" t="n">
        <f aca="false">N(base!O142)</f>
        <v>1</v>
      </c>
      <c r="G142" s="4" t="n">
        <f aca="false">SUM(base!U142:AF142)+N(base!AK142)</f>
        <v>0</v>
      </c>
      <c r="H142" s="14" t="n">
        <f aca="false">N(base!S142)</f>
        <v>5</v>
      </c>
      <c r="I142" s="6" t="n">
        <f aca="false">IFERROR(G142/H142,0)</f>
        <v>0</v>
      </c>
      <c r="J142" s="4" t="n">
        <f aca="false">SUM(base!AG142:AJ142)</f>
        <v>0</v>
      </c>
      <c r="K142" s="5" t="n">
        <f aca="false">IFERROR((base!AG142+base!AH142)/(base!K142+base!L142),0)</f>
        <v>0</v>
      </c>
      <c r="L142" s="5" t="n">
        <f aca="false">MAX(N(base!AI142),K142*N(base!M142))</f>
        <v>0</v>
      </c>
      <c r="M142" s="5" t="n">
        <f aca="false">MAX(N(base!AJ142),K142*N(base!N142))</f>
        <v>0</v>
      </c>
      <c r="N142" s="5" t="n">
        <f aca="false">base!AG142+base!AH142+L142+M142</f>
        <v>0</v>
      </c>
      <c r="O142" s="14" t="n">
        <f aca="false">N(base!T142)</f>
        <v>2</v>
      </c>
      <c r="P142" s="6" t="n">
        <f aca="false">IFERROR(J142/O142,0)</f>
        <v>0</v>
      </c>
      <c r="Q142" s="6" t="n">
        <f aca="false">IFERROR(N142/O142,0)</f>
        <v>0</v>
      </c>
      <c r="R142" s="6" t="n">
        <f aca="false">Parametros!$B$3*I142+Parametros!$B$4*P142</f>
        <v>0</v>
      </c>
      <c r="S142" s="6" t="n">
        <f aca="false">Parametros!$B$3*I142+Parametros!$B$4*Q142</f>
        <v>0</v>
      </c>
      <c r="T142" s="4" t="str">
        <f aca="false">IF(S142&lt;tablas!$C$3,"No activa",INDEX(tablas!$B$3:$B$8,MATCH(S142,tablas!$C$3:$C$8,1)))</f>
        <v>No activa</v>
      </c>
      <c r="U142" s="15" t="n">
        <f aca="false">IF(S142&lt;tablas!$C$3,0,INDEX(tablas!$D$3:$D$8,MATCH(S142,tablas!$C$3:$C$8,1)))</f>
        <v>0</v>
      </c>
      <c r="V142" s="16" t="n">
        <f aca="false">N(base!AQ142)</f>
        <v>1200</v>
      </c>
      <c r="W142" s="7" t="n">
        <f aca="false">U142*V142</f>
        <v>0</v>
      </c>
      <c r="X142" s="4" t="str">
        <f aca="false">IF(R142&lt;tablas!$C$3,"No activa",INDEX(tablas!$B$3:$B$8,MATCH(R142,tablas!$C$3:$C$8,1)))</f>
        <v>No activa</v>
      </c>
      <c r="Y142" s="7" t="n">
        <f aca="false">IF(R142&lt;tablas!$C$3,0,INDEX(tablas!$D$3:$D$8,MATCH(R142,tablas!$C$3:$C$8,1)))*V142</f>
        <v>0</v>
      </c>
      <c r="Z142" s="4" t="str">
        <f aca="false">IF(S142&gt;=tablas!$C$3,"Activa",IF(S142&gt;=Parametros!$B$5,"Cerca","No activa"))</f>
        <v>No activa</v>
      </c>
      <c r="AA142" s="6" t="n">
        <f aca="false">MAX(0,tablas!$C$3-S142)</f>
        <v>0.8</v>
      </c>
    </row>
    <row r="143" customFormat="false" ht="15" hidden="false" customHeight="false" outlineLevel="0" collapsed="false">
      <c r="A143" s="14" t="str">
        <f aca="false">base!A143</f>
        <v>10299889-3</v>
      </c>
      <c r="B143" s="14" t="str">
        <f aca="false">base!E143</f>
        <v>Ate</v>
      </c>
      <c r="C143" s="14" t="str">
        <f aca="false">base!D143</f>
        <v>Outbound</v>
      </c>
      <c r="D143" s="14" t="str">
        <f aca="false">base!F143</f>
        <v>GERARDO OBREGON RUIZ</v>
      </c>
      <c r="E143" s="14" t="str">
        <f aca="false">base!G143</f>
        <v>JOSUE MORA SOLSOL</v>
      </c>
      <c r="F143" s="14" t="n">
        <f aca="false">N(base!O143)</f>
        <v>1</v>
      </c>
      <c r="G143" s="4" t="n">
        <f aca="false">SUM(base!U143:AF143)+N(base!AK143)</f>
        <v>4</v>
      </c>
      <c r="H143" s="14" t="n">
        <f aca="false">N(base!S143)</f>
        <v>6</v>
      </c>
      <c r="I143" s="6" t="n">
        <f aca="false">IFERROR(G143/H143,0)</f>
        <v>0.666666666666667</v>
      </c>
      <c r="J143" s="4" t="n">
        <f aca="false">SUM(base!AG143:AJ143)</f>
        <v>0</v>
      </c>
      <c r="K143" s="5" t="n">
        <f aca="false">IFERROR((base!AG143+base!AH143)/(base!K143+base!L143),0)</f>
        <v>0</v>
      </c>
      <c r="L143" s="5" t="n">
        <f aca="false">MAX(N(base!AI143),K143*N(base!M143))</f>
        <v>0</v>
      </c>
      <c r="M143" s="5" t="n">
        <f aca="false">MAX(N(base!AJ143),K143*N(base!N143))</f>
        <v>0</v>
      </c>
      <c r="N143" s="5" t="n">
        <f aca="false">base!AG143+base!AH143+L143+M143</f>
        <v>0</v>
      </c>
      <c r="O143" s="14" t="n">
        <f aca="false">N(base!T143)</f>
        <v>9</v>
      </c>
      <c r="P143" s="6" t="n">
        <f aca="false">IFERROR(J143/O143,0)</f>
        <v>0</v>
      </c>
      <c r="Q143" s="6" t="n">
        <f aca="false">IFERROR(N143/O143,0)</f>
        <v>0</v>
      </c>
      <c r="R143" s="6" t="n">
        <f aca="false">Parametros!$B$3*I143+Parametros!$B$4*P143</f>
        <v>0.466666666666667</v>
      </c>
      <c r="S143" s="6" t="n">
        <f aca="false">Parametros!$B$3*I143+Parametros!$B$4*Q143</f>
        <v>0.466666666666667</v>
      </c>
      <c r="T143" s="4" t="str">
        <f aca="false">IF(S143&lt;tablas!$C$3,"No activa",INDEX(tablas!$B$3:$B$8,MATCH(S143,tablas!$C$3:$C$8,1)))</f>
        <v>No activa</v>
      </c>
      <c r="U143" s="15" t="n">
        <f aca="false">IF(S143&lt;tablas!$C$3,0,INDEX(tablas!$D$3:$D$8,MATCH(S143,tablas!$C$3:$C$8,1)))</f>
        <v>0</v>
      </c>
      <c r="V143" s="16" t="n">
        <f aca="false">N(base!AQ143)</f>
        <v>1200</v>
      </c>
      <c r="W143" s="7" t="n">
        <f aca="false">U143*V143</f>
        <v>0</v>
      </c>
      <c r="X143" s="4" t="str">
        <f aca="false">IF(R143&lt;tablas!$C$3,"No activa",INDEX(tablas!$B$3:$B$8,MATCH(R143,tablas!$C$3:$C$8,1)))</f>
        <v>No activa</v>
      </c>
      <c r="Y143" s="7" t="n">
        <f aca="false">IF(R143&lt;tablas!$C$3,0,INDEX(tablas!$D$3:$D$8,MATCH(R143,tablas!$C$3:$C$8,1)))*V143</f>
        <v>0</v>
      </c>
      <c r="Z143" s="4" t="str">
        <f aca="false">IF(S143&gt;=tablas!$C$3,"Activa",IF(S143&gt;=Parametros!$B$5,"Cerca","No activa"))</f>
        <v>No activa</v>
      </c>
      <c r="AA143" s="6" t="n">
        <f aca="false">MAX(0,tablas!$C$3-S143)</f>
        <v>0.333333333333333</v>
      </c>
    </row>
    <row r="144" customFormat="false" ht="15" hidden="false" customHeight="false" outlineLevel="0" collapsed="false">
      <c r="A144" s="14" t="str">
        <f aca="false">base!A144</f>
        <v>47798730-9</v>
      </c>
      <c r="B144" s="14" t="str">
        <f aca="false">base!E144</f>
        <v>Ate</v>
      </c>
      <c r="C144" s="14" t="str">
        <f aca="false">base!D144</f>
        <v>Outbound</v>
      </c>
      <c r="D144" s="14" t="str">
        <f aca="false">base!F144</f>
        <v>GERARDO OBREGON RUIZ</v>
      </c>
      <c r="E144" s="14" t="str">
        <f aca="false">base!G144</f>
        <v>JOSUE MORA SOLSOL</v>
      </c>
      <c r="F144" s="14" t="n">
        <f aca="false">N(base!O144)</f>
        <v>0.75</v>
      </c>
      <c r="G144" s="4" t="n">
        <f aca="false">SUM(base!U144:AF144)+N(base!AK144)</f>
        <v>0</v>
      </c>
      <c r="H144" s="14" t="n">
        <f aca="false">N(base!S144)</f>
        <v>5</v>
      </c>
      <c r="I144" s="6" t="n">
        <f aca="false">IFERROR(G144/H144,0)</f>
        <v>0</v>
      </c>
      <c r="J144" s="4" t="n">
        <f aca="false">SUM(base!AG144:AJ144)</f>
        <v>2</v>
      </c>
      <c r="K144" s="5" t="n">
        <f aca="false">IFERROR((base!AG144+base!AH144)/(base!K144+base!L144),0)</f>
        <v>0.5</v>
      </c>
      <c r="L144" s="5" t="n">
        <f aca="false">MAX(N(base!AI144),K144*N(base!M144))</f>
        <v>1</v>
      </c>
      <c r="M144" s="5" t="n">
        <f aca="false">MAX(N(base!AJ144),K144*N(base!N144))</f>
        <v>0</v>
      </c>
      <c r="N144" s="5" t="n">
        <f aca="false">base!AG144+base!AH144+L144+M144</f>
        <v>2</v>
      </c>
      <c r="O144" s="14" t="n">
        <f aca="false">N(base!T144)</f>
        <v>3</v>
      </c>
      <c r="P144" s="6" t="n">
        <f aca="false">IFERROR(J144/O144,0)</f>
        <v>0.666666666666667</v>
      </c>
      <c r="Q144" s="6" t="n">
        <f aca="false">IFERROR(N144/O144,0)</f>
        <v>0.666666666666667</v>
      </c>
      <c r="R144" s="6" t="n">
        <f aca="false">Parametros!$B$3*I144+Parametros!$B$4*P144</f>
        <v>0.2</v>
      </c>
      <c r="S144" s="6" t="n">
        <f aca="false">Parametros!$B$3*I144+Parametros!$B$4*Q144</f>
        <v>0.2</v>
      </c>
      <c r="T144" s="4" t="str">
        <f aca="false">IF(S144&lt;tablas!$C$3,"No activa",INDEX(tablas!$B$3:$B$8,MATCH(S144,tablas!$C$3:$C$8,1)))</f>
        <v>No activa</v>
      </c>
      <c r="U144" s="15" t="n">
        <f aca="false">IF(S144&lt;tablas!$C$3,0,INDEX(tablas!$D$3:$D$8,MATCH(S144,tablas!$C$3:$C$8,1)))</f>
        <v>0</v>
      </c>
      <c r="V144" s="16" t="n">
        <f aca="false">N(base!AQ144)</f>
        <v>900</v>
      </c>
      <c r="W144" s="7" t="n">
        <f aca="false">U144*V144</f>
        <v>0</v>
      </c>
      <c r="X144" s="4" t="str">
        <f aca="false">IF(R144&lt;tablas!$C$3,"No activa",INDEX(tablas!$B$3:$B$8,MATCH(R144,tablas!$C$3:$C$8,1)))</f>
        <v>No activa</v>
      </c>
      <c r="Y144" s="7" t="n">
        <f aca="false">IF(R144&lt;tablas!$C$3,0,INDEX(tablas!$D$3:$D$8,MATCH(R144,tablas!$C$3:$C$8,1)))*V144</f>
        <v>0</v>
      </c>
      <c r="Z144" s="4" t="str">
        <f aca="false">IF(S144&gt;=tablas!$C$3,"Activa",IF(S144&gt;=Parametros!$B$5,"Cerca","No activa"))</f>
        <v>No activa</v>
      </c>
      <c r="AA144" s="6" t="n">
        <f aca="false">MAX(0,tablas!$C$3-S144)</f>
        <v>0.6</v>
      </c>
    </row>
    <row r="145" customFormat="false" ht="15" hidden="false" customHeight="false" outlineLevel="0" collapsed="false">
      <c r="A145" s="14" t="str">
        <f aca="false">base!A145</f>
        <v>47106896-4</v>
      </c>
      <c r="B145" s="14" t="str">
        <f aca="false">base!E145</f>
        <v>Ate</v>
      </c>
      <c r="C145" s="14" t="str">
        <f aca="false">base!D145</f>
        <v>Outbound</v>
      </c>
      <c r="D145" s="14" t="str">
        <f aca="false">base!F145</f>
        <v>GERARDO OBREGON RUIZ</v>
      </c>
      <c r="E145" s="14" t="str">
        <f aca="false">base!G145</f>
        <v>JOSUE MORA SOLSOL</v>
      </c>
      <c r="F145" s="14" t="n">
        <f aca="false">N(base!O145)</f>
        <v>1</v>
      </c>
      <c r="G145" s="4" t="n">
        <f aca="false">SUM(base!U145:AF145)+N(base!AK145)</f>
        <v>0</v>
      </c>
      <c r="H145" s="14" t="n">
        <f aca="false">N(base!S145)</f>
        <v>6</v>
      </c>
      <c r="I145" s="6" t="n">
        <f aca="false">IFERROR(G145/H145,0)</f>
        <v>0</v>
      </c>
      <c r="J145" s="4" t="n">
        <f aca="false">SUM(base!AG145:AJ145)</f>
        <v>2</v>
      </c>
      <c r="K145" s="5" t="n">
        <f aca="false">IFERROR((base!AG145+base!AH145)/(base!K145+base!L145),0)</f>
        <v>1</v>
      </c>
      <c r="L145" s="5" t="n">
        <f aca="false">MAX(N(base!AI145),K145*N(base!M145))</f>
        <v>1</v>
      </c>
      <c r="M145" s="5" t="n">
        <f aca="false">MAX(N(base!AJ145),K145*N(base!N145))</f>
        <v>1</v>
      </c>
      <c r="N145" s="5" t="n">
        <f aca="false">base!AG145+base!AH145+L145+M145</f>
        <v>4</v>
      </c>
      <c r="O145" s="14" t="n">
        <f aca="false">N(base!T145)</f>
        <v>4</v>
      </c>
      <c r="P145" s="6" t="n">
        <f aca="false">IFERROR(J145/O145,0)</f>
        <v>0.5</v>
      </c>
      <c r="Q145" s="6" t="n">
        <f aca="false">IFERROR(N145/O145,0)</f>
        <v>1</v>
      </c>
      <c r="R145" s="6" t="n">
        <f aca="false">Parametros!$B$3*I145+Parametros!$B$4*P145</f>
        <v>0.15</v>
      </c>
      <c r="S145" s="6" t="n">
        <f aca="false">Parametros!$B$3*I145+Parametros!$B$4*Q145</f>
        <v>0.3</v>
      </c>
      <c r="T145" s="4" t="str">
        <f aca="false">IF(S145&lt;tablas!$C$3,"No activa",INDEX(tablas!$B$3:$B$8,MATCH(S145,tablas!$C$3:$C$8,1)))</f>
        <v>No activa</v>
      </c>
      <c r="U145" s="15" t="n">
        <f aca="false">IF(S145&lt;tablas!$C$3,0,INDEX(tablas!$D$3:$D$8,MATCH(S145,tablas!$C$3:$C$8,1)))</f>
        <v>0</v>
      </c>
      <c r="V145" s="16" t="n">
        <f aca="false">N(base!AQ145)</f>
        <v>1200</v>
      </c>
      <c r="W145" s="7" t="n">
        <f aca="false">U145*V145</f>
        <v>0</v>
      </c>
      <c r="X145" s="4" t="str">
        <f aca="false">IF(R145&lt;tablas!$C$3,"No activa",INDEX(tablas!$B$3:$B$8,MATCH(R145,tablas!$C$3:$C$8,1)))</f>
        <v>No activa</v>
      </c>
      <c r="Y145" s="7" t="n">
        <f aca="false">IF(R145&lt;tablas!$C$3,0,INDEX(tablas!$D$3:$D$8,MATCH(R145,tablas!$C$3:$C$8,1)))*V145</f>
        <v>0</v>
      </c>
      <c r="Z145" s="4" t="str">
        <f aca="false">IF(S145&gt;=tablas!$C$3,"Activa",IF(S145&gt;=Parametros!$B$5,"Cerca","No activa"))</f>
        <v>No activa</v>
      </c>
      <c r="AA145" s="6" t="n">
        <f aca="false">MAX(0,tablas!$C$3-S145)</f>
        <v>0.5</v>
      </c>
    </row>
    <row r="146" customFormat="false" ht="15" hidden="false" customHeight="false" outlineLevel="0" collapsed="false">
      <c r="A146" s="14" t="str">
        <f aca="false">base!A146</f>
        <v>72900141-0</v>
      </c>
      <c r="B146" s="14" t="str">
        <f aca="false">base!E146</f>
        <v>Ate</v>
      </c>
      <c r="C146" s="14" t="str">
        <f aca="false">base!D146</f>
        <v>Outbound</v>
      </c>
      <c r="D146" s="14" t="str">
        <f aca="false">base!F146</f>
        <v>GERARDO OBREGON RUIZ</v>
      </c>
      <c r="E146" s="14" t="str">
        <f aca="false">base!G146</f>
        <v>JOSUE MORA SOLSOL</v>
      </c>
      <c r="F146" s="14" t="n">
        <f aca="false">N(base!O146)</f>
        <v>0.5</v>
      </c>
      <c r="G146" s="4" t="n">
        <f aca="false">SUM(base!U146:AF146)+N(base!AK146)</f>
        <v>0</v>
      </c>
      <c r="H146" s="14" t="n">
        <f aca="false">N(base!S146)</f>
        <v>3</v>
      </c>
      <c r="I146" s="6" t="n">
        <f aca="false">IFERROR(G146/H146,0)</f>
        <v>0</v>
      </c>
      <c r="J146" s="4" t="n">
        <f aca="false">SUM(base!AG146:AJ146)</f>
        <v>0</v>
      </c>
      <c r="K146" s="5" t="n">
        <f aca="false">IFERROR((base!AG146+base!AH146)/(base!K146+base!L146),0)</f>
        <v>0</v>
      </c>
      <c r="L146" s="5" t="n">
        <f aca="false">MAX(N(base!AI146),K146*N(base!M146))</f>
        <v>0</v>
      </c>
      <c r="M146" s="5" t="n">
        <f aca="false">MAX(N(base!AJ146),K146*N(base!N146))</f>
        <v>0</v>
      </c>
      <c r="N146" s="5" t="n">
        <f aca="false">base!AG146+base!AH146+L146+M146</f>
        <v>0</v>
      </c>
      <c r="O146" s="14" t="n">
        <f aca="false">N(base!T146)</f>
        <v>1</v>
      </c>
      <c r="P146" s="6" t="n">
        <f aca="false">IFERROR(J146/O146,0)</f>
        <v>0</v>
      </c>
      <c r="Q146" s="6" t="n">
        <f aca="false">IFERROR(N146/O146,0)</f>
        <v>0</v>
      </c>
      <c r="R146" s="6" t="n">
        <f aca="false">Parametros!$B$3*I146+Parametros!$B$4*P146</f>
        <v>0</v>
      </c>
      <c r="S146" s="6" t="n">
        <f aca="false">Parametros!$B$3*I146+Parametros!$B$4*Q146</f>
        <v>0</v>
      </c>
      <c r="T146" s="4" t="str">
        <f aca="false">IF(S146&lt;tablas!$C$3,"No activa",INDEX(tablas!$B$3:$B$8,MATCH(S146,tablas!$C$3:$C$8,1)))</f>
        <v>No activa</v>
      </c>
      <c r="U146" s="15" t="n">
        <f aca="false">IF(S146&lt;tablas!$C$3,0,INDEX(tablas!$D$3:$D$8,MATCH(S146,tablas!$C$3:$C$8,1)))</f>
        <v>0</v>
      </c>
      <c r="V146" s="16" t="n">
        <f aca="false">N(base!AQ146)</f>
        <v>600</v>
      </c>
      <c r="W146" s="7" t="n">
        <f aca="false">U146*V146</f>
        <v>0</v>
      </c>
      <c r="X146" s="4" t="str">
        <f aca="false">IF(R146&lt;tablas!$C$3,"No activa",INDEX(tablas!$B$3:$B$8,MATCH(R146,tablas!$C$3:$C$8,1)))</f>
        <v>No activa</v>
      </c>
      <c r="Y146" s="7" t="n">
        <f aca="false">IF(R146&lt;tablas!$C$3,0,INDEX(tablas!$D$3:$D$8,MATCH(R146,tablas!$C$3:$C$8,1)))*V146</f>
        <v>0</v>
      </c>
      <c r="Z146" s="4" t="str">
        <f aca="false">IF(S146&gt;=tablas!$C$3,"Activa",IF(S146&gt;=Parametros!$B$5,"Cerca","No activa"))</f>
        <v>No activa</v>
      </c>
      <c r="AA146" s="6" t="n">
        <f aca="false">MAX(0,tablas!$C$3-S146)</f>
        <v>0.8</v>
      </c>
    </row>
    <row r="147" customFormat="false" ht="15" hidden="false" customHeight="false" outlineLevel="0" collapsed="false">
      <c r="A147" s="14" t="str">
        <f aca="false">base!A147</f>
        <v>70488249-7</v>
      </c>
      <c r="B147" s="14" t="str">
        <f aca="false">base!E147</f>
        <v>Ate</v>
      </c>
      <c r="C147" s="14" t="str">
        <f aca="false">base!D147</f>
        <v>Outbound</v>
      </c>
      <c r="D147" s="14" t="str">
        <f aca="false">base!F147</f>
        <v>GERARDO OBREGON RUIZ</v>
      </c>
      <c r="E147" s="14" t="str">
        <f aca="false">base!G147</f>
        <v>JOSUE MORA SOLSOL</v>
      </c>
      <c r="F147" s="14" t="n">
        <f aca="false">N(base!O147)</f>
        <v>1</v>
      </c>
      <c r="G147" s="4" t="n">
        <f aca="false">SUM(base!U147:AF147)+N(base!AK147)</f>
        <v>0</v>
      </c>
      <c r="H147" s="14" t="n">
        <f aca="false">N(base!S147)</f>
        <v>6</v>
      </c>
      <c r="I147" s="6" t="n">
        <f aca="false">IFERROR(G147/H147,0)</f>
        <v>0</v>
      </c>
      <c r="J147" s="4" t="n">
        <f aca="false">SUM(base!AG147:AJ147)</f>
        <v>1</v>
      </c>
      <c r="K147" s="5" t="n">
        <f aca="false">IFERROR((base!AG147+base!AH147)/(base!K147+base!L147),0)</f>
        <v>0.5</v>
      </c>
      <c r="L147" s="5" t="n">
        <f aca="false">MAX(N(base!AI147),K147*N(base!M147))</f>
        <v>0.5</v>
      </c>
      <c r="M147" s="5" t="n">
        <f aca="false">MAX(N(base!AJ147),K147*N(base!N147))</f>
        <v>0.5</v>
      </c>
      <c r="N147" s="5" t="n">
        <f aca="false">base!AG147+base!AH147+L147+M147</f>
        <v>2</v>
      </c>
      <c r="O147" s="14" t="n">
        <f aca="false">N(base!T147)</f>
        <v>3</v>
      </c>
      <c r="P147" s="6" t="n">
        <f aca="false">IFERROR(J147/O147,0)</f>
        <v>0.333333333333333</v>
      </c>
      <c r="Q147" s="6" t="n">
        <f aca="false">IFERROR(N147/O147,0)</f>
        <v>0.666666666666667</v>
      </c>
      <c r="R147" s="6" t="n">
        <f aca="false">Parametros!$B$3*I147+Parametros!$B$4*P147</f>
        <v>0.1</v>
      </c>
      <c r="S147" s="6" t="n">
        <f aca="false">Parametros!$B$3*I147+Parametros!$B$4*Q147</f>
        <v>0.2</v>
      </c>
      <c r="T147" s="4" t="str">
        <f aca="false">IF(S147&lt;tablas!$C$3,"No activa",INDEX(tablas!$B$3:$B$8,MATCH(S147,tablas!$C$3:$C$8,1)))</f>
        <v>No activa</v>
      </c>
      <c r="U147" s="15" t="n">
        <f aca="false">IF(S147&lt;tablas!$C$3,0,INDEX(tablas!$D$3:$D$8,MATCH(S147,tablas!$C$3:$C$8,1)))</f>
        <v>0</v>
      </c>
      <c r="V147" s="16" t="n">
        <f aca="false">N(base!AQ147)</f>
        <v>1200</v>
      </c>
      <c r="W147" s="7" t="n">
        <f aca="false">U147*V147</f>
        <v>0</v>
      </c>
      <c r="X147" s="4" t="str">
        <f aca="false">IF(R147&lt;tablas!$C$3,"No activa",INDEX(tablas!$B$3:$B$8,MATCH(R147,tablas!$C$3:$C$8,1)))</f>
        <v>No activa</v>
      </c>
      <c r="Y147" s="7" t="n">
        <f aca="false">IF(R147&lt;tablas!$C$3,0,INDEX(tablas!$D$3:$D$8,MATCH(R147,tablas!$C$3:$C$8,1)))*V147</f>
        <v>0</v>
      </c>
      <c r="Z147" s="4" t="str">
        <f aca="false">IF(S147&gt;=tablas!$C$3,"Activa",IF(S147&gt;=Parametros!$B$5,"Cerca","No activa"))</f>
        <v>No activa</v>
      </c>
      <c r="AA147" s="6" t="n">
        <f aca="false">MAX(0,tablas!$C$3-S147)</f>
        <v>0.6</v>
      </c>
    </row>
    <row r="148" customFormat="false" ht="15" hidden="false" customHeight="false" outlineLevel="0" collapsed="false">
      <c r="A148" s="14" t="str">
        <f aca="false">base!A148</f>
        <v>77575311-6</v>
      </c>
      <c r="B148" s="14" t="str">
        <f aca="false">base!E148</f>
        <v>Ate</v>
      </c>
      <c r="C148" s="14" t="str">
        <f aca="false">base!D148</f>
        <v>Outbound</v>
      </c>
      <c r="D148" s="14" t="str">
        <f aca="false">base!F148</f>
        <v>GERARDO OBREGON RUIZ</v>
      </c>
      <c r="E148" s="14" t="str">
        <f aca="false">base!G148</f>
        <v>JOSUE MORA SOLSOL</v>
      </c>
      <c r="F148" s="14" t="n">
        <f aca="false">N(base!O148)</f>
        <v>1</v>
      </c>
      <c r="G148" s="4" t="n">
        <f aca="false">SUM(base!U148:AF148)+N(base!AK148)</f>
        <v>0</v>
      </c>
      <c r="H148" s="14" t="n">
        <f aca="false">N(base!S148)</f>
        <v>6</v>
      </c>
      <c r="I148" s="6" t="n">
        <f aca="false">IFERROR(G148/H148,0)</f>
        <v>0</v>
      </c>
      <c r="J148" s="4" t="n">
        <f aca="false">SUM(base!AG148:AJ148)</f>
        <v>2</v>
      </c>
      <c r="K148" s="5" t="n">
        <f aca="false">IFERROR((base!AG148+base!AH148)/(base!K148+base!L148),0)</f>
        <v>1</v>
      </c>
      <c r="L148" s="5" t="n">
        <f aca="false">MAX(N(base!AI148),K148*N(base!M148))</f>
        <v>1</v>
      </c>
      <c r="M148" s="5" t="n">
        <f aca="false">MAX(N(base!AJ148),K148*N(base!N148))</f>
        <v>1</v>
      </c>
      <c r="N148" s="5" t="n">
        <f aca="false">base!AG148+base!AH148+L148+M148</f>
        <v>4</v>
      </c>
      <c r="O148" s="14" t="n">
        <f aca="false">N(base!T148)</f>
        <v>4</v>
      </c>
      <c r="P148" s="6" t="n">
        <f aca="false">IFERROR(J148/O148,0)</f>
        <v>0.5</v>
      </c>
      <c r="Q148" s="6" t="n">
        <f aca="false">IFERROR(N148/O148,0)</f>
        <v>1</v>
      </c>
      <c r="R148" s="6" t="n">
        <f aca="false">Parametros!$B$3*I148+Parametros!$B$4*P148</f>
        <v>0.15</v>
      </c>
      <c r="S148" s="6" t="n">
        <f aca="false">Parametros!$B$3*I148+Parametros!$B$4*Q148</f>
        <v>0.3</v>
      </c>
      <c r="T148" s="4" t="str">
        <f aca="false">IF(S148&lt;tablas!$C$3,"No activa",INDEX(tablas!$B$3:$B$8,MATCH(S148,tablas!$C$3:$C$8,1)))</f>
        <v>No activa</v>
      </c>
      <c r="U148" s="15" t="n">
        <f aca="false">IF(S148&lt;tablas!$C$3,0,INDEX(tablas!$D$3:$D$8,MATCH(S148,tablas!$C$3:$C$8,1)))</f>
        <v>0</v>
      </c>
      <c r="V148" s="16" t="n">
        <f aca="false">N(base!AQ148)</f>
        <v>1200</v>
      </c>
      <c r="W148" s="7" t="n">
        <f aca="false">U148*V148</f>
        <v>0</v>
      </c>
      <c r="X148" s="4" t="str">
        <f aca="false">IF(R148&lt;tablas!$C$3,"No activa",INDEX(tablas!$B$3:$B$8,MATCH(R148,tablas!$C$3:$C$8,1)))</f>
        <v>No activa</v>
      </c>
      <c r="Y148" s="7" t="n">
        <f aca="false">IF(R148&lt;tablas!$C$3,0,INDEX(tablas!$D$3:$D$8,MATCH(R148,tablas!$C$3:$C$8,1)))*V148</f>
        <v>0</v>
      </c>
      <c r="Z148" s="4" t="str">
        <f aca="false">IF(S148&gt;=tablas!$C$3,"Activa",IF(S148&gt;=Parametros!$B$5,"Cerca","No activa"))</f>
        <v>No activa</v>
      </c>
      <c r="AA148" s="6" t="n">
        <f aca="false">MAX(0,tablas!$C$3-S148)</f>
        <v>0.5</v>
      </c>
    </row>
    <row r="149" customFormat="false" ht="15" hidden="false" customHeight="false" outlineLevel="0" collapsed="false">
      <c r="A149" s="14" t="str">
        <f aca="false">base!A149</f>
        <v>48990227-9</v>
      </c>
      <c r="B149" s="14" t="str">
        <f aca="false">base!E149</f>
        <v>Ate</v>
      </c>
      <c r="C149" s="14" t="str">
        <f aca="false">base!D149</f>
        <v>Outbound</v>
      </c>
      <c r="D149" s="14" t="str">
        <f aca="false">base!F149</f>
        <v>GERARDO OBREGON RUIZ</v>
      </c>
      <c r="E149" s="14" t="str">
        <f aca="false">base!G149</f>
        <v>JOSUE MORA SOLSOL</v>
      </c>
      <c r="F149" s="14" t="n">
        <f aca="false">N(base!O149)</f>
        <v>1</v>
      </c>
      <c r="G149" s="4" t="n">
        <f aca="false">SUM(base!U149:AF149)+N(base!AK149)</f>
        <v>4</v>
      </c>
      <c r="H149" s="14" t="n">
        <f aca="false">N(base!S149)</f>
        <v>6</v>
      </c>
      <c r="I149" s="6" t="n">
        <f aca="false">IFERROR(G149/H149,0)</f>
        <v>0.666666666666667</v>
      </c>
      <c r="J149" s="4" t="n">
        <f aca="false">SUM(base!AG149:AJ149)</f>
        <v>0</v>
      </c>
      <c r="K149" s="5" t="n">
        <f aca="false">IFERROR((base!AG149+base!AH149)/(base!K149+base!L149),0)</f>
        <v>0</v>
      </c>
      <c r="L149" s="5" t="n">
        <f aca="false">MAX(N(base!AI149),K149*N(base!M149))</f>
        <v>0</v>
      </c>
      <c r="M149" s="5" t="n">
        <f aca="false">MAX(N(base!AJ149),K149*N(base!N149))</f>
        <v>0</v>
      </c>
      <c r="N149" s="5" t="n">
        <f aca="false">base!AG149+base!AH149+L149+M149</f>
        <v>0</v>
      </c>
      <c r="O149" s="14" t="n">
        <f aca="false">N(base!T149)</f>
        <v>11</v>
      </c>
      <c r="P149" s="6" t="n">
        <f aca="false">IFERROR(J149/O149,0)</f>
        <v>0</v>
      </c>
      <c r="Q149" s="6" t="n">
        <f aca="false">IFERROR(N149/O149,0)</f>
        <v>0</v>
      </c>
      <c r="R149" s="6" t="n">
        <f aca="false">Parametros!$B$3*I149+Parametros!$B$4*P149</f>
        <v>0.466666666666667</v>
      </c>
      <c r="S149" s="6" t="n">
        <f aca="false">Parametros!$B$3*I149+Parametros!$B$4*Q149</f>
        <v>0.466666666666667</v>
      </c>
      <c r="T149" s="4" t="str">
        <f aca="false">IF(S149&lt;tablas!$C$3,"No activa",INDEX(tablas!$B$3:$B$8,MATCH(S149,tablas!$C$3:$C$8,1)))</f>
        <v>No activa</v>
      </c>
      <c r="U149" s="15" t="n">
        <f aca="false">IF(S149&lt;tablas!$C$3,0,INDEX(tablas!$D$3:$D$8,MATCH(S149,tablas!$C$3:$C$8,1)))</f>
        <v>0</v>
      </c>
      <c r="V149" s="16" t="n">
        <f aca="false">N(base!AQ149)</f>
        <v>1200</v>
      </c>
      <c r="W149" s="7" t="n">
        <f aca="false">U149*V149</f>
        <v>0</v>
      </c>
      <c r="X149" s="4" t="str">
        <f aca="false">IF(R149&lt;tablas!$C$3,"No activa",INDEX(tablas!$B$3:$B$8,MATCH(R149,tablas!$C$3:$C$8,1)))</f>
        <v>No activa</v>
      </c>
      <c r="Y149" s="7" t="n">
        <f aca="false">IF(R149&lt;tablas!$C$3,0,INDEX(tablas!$D$3:$D$8,MATCH(R149,tablas!$C$3:$C$8,1)))*V149</f>
        <v>0</v>
      </c>
      <c r="Z149" s="4" t="str">
        <f aca="false">IF(S149&gt;=tablas!$C$3,"Activa",IF(S149&gt;=Parametros!$B$5,"Cerca","No activa"))</f>
        <v>No activa</v>
      </c>
      <c r="AA149" s="6" t="n">
        <f aca="false">MAX(0,tablas!$C$3-S149)</f>
        <v>0.333333333333333</v>
      </c>
    </row>
    <row r="150" customFormat="false" ht="15" hidden="false" customHeight="false" outlineLevel="0" collapsed="false">
      <c r="A150" s="14" t="str">
        <f aca="false">base!A150</f>
        <v>41138380-1</v>
      </c>
      <c r="B150" s="14" t="str">
        <f aca="false">base!E150</f>
        <v>Ate</v>
      </c>
      <c r="C150" s="14" t="str">
        <f aca="false">base!D150</f>
        <v>Outbound</v>
      </c>
      <c r="D150" s="14" t="str">
        <f aca="false">base!F150</f>
        <v>GERARDO OBREGON RUIZ</v>
      </c>
      <c r="E150" s="14" t="str">
        <f aca="false">base!G150</f>
        <v>JOSUE MORA SOLSOL</v>
      </c>
      <c r="F150" s="14" t="n">
        <f aca="false">N(base!O150)</f>
        <v>1</v>
      </c>
      <c r="G150" s="4" t="n">
        <f aca="false">SUM(base!U150:AF150)+N(base!AK150)</f>
        <v>4</v>
      </c>
      <c r="H150" s="14" t="n">
        <f aca="false">N(base!S150)</f>
        <v>6</v>
      </c>
      <c r="I150" s="6" t="n">
        <f aca="false">IFERROR(G150/H150,0)</f>
        <v>0.666666666666667</v>
      </c>
      <c r="J150" s="4" t="n">
        <f aca="false">SUM(base!AG150:AJ150)</f>
        <v>0</v>
      </c>
      <c r="K150" s="5" t="n">
        <f aca="false">IFERROR((base!AG150+base!AH150)/(base!K150+base!L150),0)</f>
        <v>0</v>
      </c>
      <c r="L150" s="5" t="n">
        <f aca="false">MAX(N(base!AI150),K150*N(base!M150))</f>
        <v>0</v>
      </c>
      <c r="M150" s="5" t="n">
        <f aca="false">MAX(N(base!AJ150),K150*N(base!N150))</f>
        <v>0</v>
      </c>
      <c r="N150" s="5" t="n">
        <f aca="false">base!AG150+base!AH150+L150+M150</f>
        <v>0</v>
      </c>
      <c r="O150" s="14" t="n">
        <f aca="false">N(base!T150)</f>
        <v>14</v>
      </c>
      <c r="P150" s="6" t="n">
        <f aca="false">IFERROR(J150/O150,0)</f>
        <v>0</v>
      </c>
      <c r="Q150" s="6" t="n">
        <f aca="false">IFERROR(N150/O150,0)</f>
        <v>0</v>
      </c>
      <c r="R150" s="6" t="n">
        <f aca="false">Parametros!$B$3*I150+Parametros!$B$4*P150</f>
        <v>0.466666666666667</v>
      </c>
      <c r="S150" s="6" t="n">
        <f aca="false">Parametros!$B$3*I150+Parametros!$B$4*Q150</f>
        <v>0.466666666666667</v>
      </c>
      <c r="T150" s="4" t="str">
        <f aca="false">IF(S150&lt;tablas!$C$3,"No activa",INDEX(tablas!$B$3:$B$8,MATCH(S150,tablas!$C$3:$C$8,1)))</f>
        <v>No activa</v>
      </c>
      <c r="U150" s="15" t="n">
        <f aca="false">IF(S150&lt;tablas!$C$3,0,INDEX(tablas!$D$3:$D$8,MATCH(S150,tablas!$C$3:$C$8,1)))</f>
        <v>0</v>
      </c>
      <c r="V150" s="16" t="n">
        <f aca="false">N(base!AQ150)</f>
        <v>1200</v>
      </c>
      <c r="W150" s="7" t="n">
        <f aca="false">U150*V150</f>
        <v>0</v>
      </c>
      <c r="X150" s="4" t="str">
        <f aca="false">IF(R150&lt;tablas!$C$3,"No activa",INDEX(tablas!$B$3:$B$8,MATCH(R150,tablas!$C$3:$C$8,1)))</f>
        <v>No activa</v>
      </c>
      <c r="Y150" s="7" t="n">
        <f aca="false">IF(R150&lt;tablas!$C$3,0,INDEX(tablas!$D$3:$D$8,MATCH(R150,tablas!$C$3:$C$8,1)))*V150</f>
        <v>0</v>
      </c>
      <c r="Z150" s="4" t="str">
        <f aca="false">IF(S150&gt;=tablas!$C$3,"Activa",IF(S150&gt;=Parametros!$B$5,"Cerca","No activa"))</f>
        <v>No activa</v>
      </c>
      <c r="AA150" s="6" t="n">
        <f aca="false">MAX(0,tablas!$C$3-S150)</f>
        <v>0.333333333333333</v>
      </c>
    </row>
    <row r="151" customFormat="false" ht="15" hidden="false" customHeight="false" outlineLevel="0" collapsed="false">
      <c r="A151" s="14" t="str">
        <f aca="false">base!A151</f>
        <v>49010120-4</v>
      </c>
      <c r="B151" s="14" t="str">
        <f aca="false">base!E151</f>
        <v>Ate</v>
      </c>
      <c r="C151" s="14" t="str">
        <f aca="false">base!D151</f>
        <v>Outbound</v>
      </c>
      <c r="D151" s="14" t="str">
        <f aca="false">base!F151</f>
        <v>GERARDO OBREGON RUIZ</v>
      </c>
      <c r="E151" s="14" t="str">
        <f aca="false">base!G151</f>
        <v>JOSUE MORA SOLSOL</v>
      </c>
      <c r="F151" s="14" t="n">
        <f aca="false">N(base!O151)</f>
        <v>1</v>
      </c>
      <c r="G151" s="4" t="n">
        <f aca="false">SUM(base!U151:AF151)+N(base!AK151)</f>
        <v>9</v>
      </c>
      <c r="H151" s="14" t="n">
        <f aca="false">N(base!S151)</f>
        <v>6</v>
      </c>
      <c r="I151" s="6" t="n">
        <f aca="false">IFERROR(G151/H151,0)</f>
        <v>1.5</v>
      </c>
      <c r="J151" s="4" t="n">
        <f aca="false">SUM(base!AG151:AJ151)</f>
        <v>0</v>
      </c>
      <c r="K151" s="5" t="n">
        <f aca="false">IFERROR((base!AG151+base!AH151)/(base!K151+base!L151),0)</f>
        <v>0</v>
      </c>
      <c r="L151" s="5" t="n">
        <f aca="false">MAX(N(base!AI151),K151*N(base!M151))</f>
        <v>0</v>
      </c>
      <c r="M151" s="5" t="n">
        <f aca="false">MAX(N(base!AJ151),K151*N(base!N151))</f>
        <v>0</v>
      </c>
      <c r="N151" s="5" t="n">
        <f aca="false">base!AG151+base!AH151+L151+M151</f>
        <v>0</v>
      </c>
      <c r="O151" s="14" t="n">
        <f aca="false">N(base!T151)</f>
        <v>11</v>
      </c>
      <c r="P151" s="6" t="n">
        <f aca="false">IFERROR(J151/O151,0)</f>
        <v>0</v>
      </c>
      <c r="Q151" s="6" t="n">
        <f aca="false">IFERROR(N151/O151,0)</f>
        <v>0</v>
      </c>
      <c r="R151" s="6" t="n">
        <f aca="false">Parametros!$B$3*I151+Parametros!$B$4*P151</f>
        <v>1.05</v>
      </c>
      <c r="S151" s="6" t="n">
        <f aca="false">Parametros!$B$3*I151+Parametros!$B$4*Q151</f>
        <v>1.05</v>
      </c>
      <c r="T151" s="4" t="str">
        <f aca="false">IF(S151&lt;tablas!$C$3,"No activa",INDEX(tablas!$B$3:$B$8,MATCH(S151,tablas!$C$3:$C$8,1)))</f>
        <v>N3</v>
      </c>
      <c r="U151" s="15" t="n">
        <f aca="false">IF(S151&lt;tablas!$C$3,0,INDEX(tablas!$D$3:$D$8,MATCH(S151,tablas!$C$3:$C$8,1)))</f>
        <v>1</v>
      </c>
      <c r="V151" s="16" t="n">
        <f aca="false">N(base!AQ151)</f>
        <v>1200</v>
      </c>
      <c r="W151" s="7" t="n">
        <f aca="false">U151*V151</f>
        <v>1200</v>
      </c>
      <c r="X151" s="4" t="str">
        <f aca="false">IF(R151&lt;tablas!$C$3,"No activa",INDEX(tablas!$B$3:$B$8,MATCH(R151,tablas!$C$3:$C$8,1)))</f>
        <v>N3</v>
      </c>
      <c r="Y151" s="7" t="n">
        <f aca="false">IF(R151&lt;tablas!$C$3,0,INDEX(tablas!$D$3:$D$8,MATCH(R151,tablas!$C$3:$C$8,1)))*V151</f>
        <v>1200</v>
      </c>
      <c r="Z151" s="4" t="str">
        <f aca="false">IF(S151&gt;=tablas!$C$3,"Activa",IF(S151&gt;=Parametros!$B$5,"Cerca","No activa"))</f>
        <v>Activa</v>
      </c>
      <c r="AA151" s="6" t="n">
        <f aca="false">MAX(0,tablas!$C$3-S151)</f>
        <v>0</v>
      </c>
    </row>
    <row r="152" customFormat="false" ht="15" hidden="false" customHeight="false" outlineLevel="0" collapsed="false">
      <c r="A152" s="14" t="str">
        <f aca="false">base!A152</f>
        <v>48142442-4</v>
      </c>
      <c r="B152" s="14" t="str">
        <f aca="false">base!E152</f>
        <v>Ate</v>
      </c>
      <c r="C152" s="14" t="str">
        <f aca="false">base!D152</f>
        <v>Outbound</v>
      </c>
      <c r="D152" s="14" t="str">
        <f aca="false">base!F152</f>
        <v>GERARDO OBREGON RUIZ</v>
      </c>
      <c r="E152" s="14" t="str">
        <f aca="false">base!G152</f>
        <v>JOSUE MORA SOLSOL</v>
      </c>
      <c r="F152" s="14" t="n">
        <f aca="false">N(base!O152)</f>
        <v>1</v>
      </c>
      <c r="G152" s="4" t="n">
        <f aca="false">SUM(base!U152:AF152)+N(base!AK152)</f>
        <v>0</v>
      </c>
      <c r="H152" s="14" t="n">
        <f aca="false">N(base!S152)</f>
        <v>6</v>
      </c>
      <c r="I152" s="6" t="n">
        <f aca="false">IFERROR(G152/H152,0)</f>
        <v>0</v>
      </c>
      <c r="J152" s="4" t="n">
        <f aca="false">SUM(base!AG152:AJ152)</f>
        <v>0</v>
      </c>
      <c r="K152" s="5" t="n">
        <f aca="false">IFERROR((base!AG152+base!AH152)/(base!K152+base!L152),0)</f>
        <v>0</v>
      </c>
      <c r="L152" s="5" t="n">
        <f aca="false">MAX(N(base!AI152),K152*N(base!M152))</f>
        <v>0</v>
      </c>
      <c r="M152" s="5" t="n">
        <f aca="false">MAX(N(base!AJ152),K152*N(base!N152))</f>
        <v>0</v>
      </c>
      <c r="N152" s="5" t="n">
        <f aca="false">base!AG152+base!AH152+L152+M152</f>
        <v>0</v>
      </c>
      <c r="O152" s="14" t="n">
        <f aca="false">N(base!T152)</f>
        <v>10</v>
      </c>
      <c r="P152" s="6" t="n">
        <f aca="false">IFERROR(J152/O152,0)</f>
        <v>0</v>
      </c>
      <c r="Q152" s="6" t="n">
        <f aca="false">IFERROR(N152/O152,0)</f>
        <v>0</v>
      </c>
      <c r="R152" s="6" t="n">
        <f aca="false">Parametros!$B$3*I152+Parametros!$B$4*P152</f>
        <v>0</v>
      </c>
      <c r="S152" s="6" t="n">
        <f aca="false">Parametros!$B$3*I152+Parametros!$B$4*Q152</f>
        <v>0</v>
      </c>
      <c r="T152" s="4" t="str">
        <f aca="false">IF(S152&lt;tablas!$C$3,"No activa",INDEX(tablas!$B$3:$B$8,MATCH(S152,tablas!$C$3:$C$8,1)))</f>
        <v>No activa</v>
      </c>
      <c r="U152" s="15" t="n">
        <f aca="false">IF(S152&lt;tablas!$C$3,0,INDEX(tablas!$D$3:$D$8,MATCH(S152,tablas!$C$3:$C$8,1)))</f>
        <v>0</v>
      </c>
      <c r="V152" s="16" t="n">
        <f aca="false">N(base!AQ152)</f>
        <v>1200</v>
      </c>
      <c r="W152" s="7" t="n">
        <f aca="false">U152*V152</f>
        <v>0</v>
      </c>
      <c r="X152" s="4" t="str">
        <f aca="false">IF(R152&lt;tablas!$C$3,"No activa",INDEX(tablas!$B$3:$B$8,MATCH(R152,tablas!$C$3:$C$8,1)))</f>
        <v>No activa</v>
      </c>
      <c r="Y152" s="7" t="n">
        <f aca="false">IF(R152&lt;tablas!$C$3,0,INDEX(tablas!$D$3:$D$8,MATCH(R152,tablas!$C$3:$C$8,1)))*V152</f>
        <v>0</v>
      </c>
      <c r="Z152" s="4" t="str">
        <f aca="false">IF(S152&gt;=tablas!$C$3,"Activa",IF(S152&gt;=Parametros!$B$5,"Cerca","No activa"))</f>
        <v>No activa</v>
      </c>
      <c r="AA152" s="6" t="n">
        <f aca="false">MAX(0,tablas!$C$3-S152)</f>
        <v>0.8</v>
      </c>
    </row>
    <row r="153" customFormat="false" ht="15" hidden="false" customHeight="false" outlineLevel="0" collapsed="false">
      <c r="A153" s="14" t="str">
        <f aca="false">base!A153</f>
        <v>72929459-0</v>
      </c>
      <c r="B153" s="14" t="str">
        <f aca="false">base!E153</f>
        <v>Ate</v>
      </c>
      <c r="C153" s="14" t="str">
        <f aca="false">base!D153</f>
        <v>Outbound</v>
      </c>
      <c r="D153" s="14" t="str">
        <f aca="false">base!F153</f>
        <v>GERARDO OBREGON RUIZ</v>
      </c>
      <c r="E153" s="14" t="str">
        <f aca="false">base!G153</f>
        <v>JOSUE MORA SOLSOL</v>
      </c>
      <c r="F153" s="14" t="n">
        <f aca="false">N(base!O153)</f>
        <v>1</v>
      </c>
      <c r="G153" s="4" t="n">
        <f aca="false">SUM(base!U153:AF153)+N(base!AK153)</f>
        <v>0</v>
      </c>
      <c r="H153" s="14" t="n">
        <f aca="false">N(base!S153)</f>
        <v>6</v>
      </c>
      <c r="I153" s="6" t="n">
        <f aca="false">IFERROR(G153/H153,0)</f>
        <v>0</v>
      </c>
      <c r="J153" s="4" t="n">
        <f aca="false">SUM(base!AG153:AJ153)</f>
        <v>0</v>
      </c>
      <c r="K153" s="5" t="n">
        <f aca="false">IFERROR((base!AG153+base!AH153)/(base!K153+base!L153),0)</f>
        <v>0</v>
      </c>
      <c r="L153" s="5" t="n">
        <f aca="false">MAX(N(base!AI153),K153*N(base!M153))</f>
        <v>0</v>
      </c>
      <c r="M153" s="5" t="n">
        <f aca="false">MAX(N(base!AJ153),K153*N(base!N153))</f>
        <v>0</v>
      </c>
      <c r="N153" s="5" t="n">
        <f aca="false">base!AG153+base!AH153+L153+M153</f>
        <v>0</v>
      </c>
      <c r="O153" s="14" t="n">
        <f aca="false">N(base!T153)</f>
        <v>11</v>
      </c>
      <c r="P153" s="6" t="n">
        <f aca="false">IFERROR(J153/O153,0)</f>
        <v>0</v>
      </c>
      <c r="Q153" s="6" t="n">
        <f aca="false">IFERROR(N153/O153,0)</f>
        <v>0</v>
      </c>
      <c r="R153" s="6" t="n">
        <f aca="false">Parametros!$B$3*I153+Parametros!$B$4*P153</f>
        <v>0</v>
      </c>
      <c r="S153" s="6" t="n">
        <f aca="false">Parametros!$B$3*I153+Parametros!$B$4*Q153</f>
        <v>0</v>
      </c>
      <c r="T153" s="4" t="str">
        <f aca="false">IF(S153&lt;tablas!$C$3,"No activa",INDEX(tablas!$B$3:$B$8,MATCH(S153,tablas!$C$3:$C$8,1)))</f>
        <v>No activa</v>
      </c>
      <c r="U153" s="15" t="n">
        <f aca="false">IF(S153&lt;tablas!$C$3,0,INDEX(tablas!$D$3:$D$8,MATCH(S153,tablas!$C$3:$C$8,1)))</f>
        <v>0</v>
      </c>
      <c r="V153" s="16" t="n">
        <f aca="false">N(base!AQ153)</f>
        <v>1200</v>
      </c>
      <c r="W153" s="7" t="n">
        <f aca="false">U153*V153</f>
        <v>0</v>
      </c>
      <c r="X153" s="4" t="str">
        <f aca="false">IF(R153&lt;tablas!$C$3,"No activa",INDEX(tablas!$B$3:$B$8,MATCH(R153,tablas!$C$3:$C$8,1)))</f>
        <v>No activa</v>
      </c>
      <c r="Y153" s="7" t="n">
        <f aca="false">IF(R153&lt;tablas!$C$3,0,INDEX(tablas!$D$3:$D$8,MATCH(R153,tablas!$C$3:$C$8,1)))*V153</f>
        <v>0</v>
      </c>
      <c r="Z153" s="4" t="str">
        <f aca="false">IF(S153&gt;=tablas!$C$3,"Activa",IF(S153&gt;=Parametros!$B$5,"Cerca","No activa"))</f>
        <v>No activa</v>
      </c>
      <c r="AA153" s="6" t="n">
        <f aca="false">MAX(0,tablas!$C$3-S153)</f>
        <v>0.8</v>
      </c>
    </row>
    <row r="154" customFormat="false" ht="15" hidden="false" customHeight="false" outlineLevel="0" collapsed="false">
      <c r="A154" s="14" t="str">
        <f aca="false">base!A154</f>
        <v>46255790-1</v>
      </c>
      <c r="B154" s="14" t="str">
        <f aca="false">base!E154</f>
        <v>Outbound Premium</v>
      </c>
      <c r="C154" s="14" t="str">
        <f aca="false">base!D154</f>
        <v>Outbound</v>
      </c>
      <c r="D154" s="14" t="str">
        <f aca="false">base!F154</f>
        <v>HENRRY JHONATHAN POMPA EUGENIO</v>
      </c>
      <c r="E154" s="14" t="str">
        <f aca="false">base!G154</f>
        <v>JHIMY TAFUR CHAVEZ</v>
      </c>
      <c r="F154" s="14" t="n">
        <f aca="false">N(base!O154)</f>
        <v>1</v>
      </c>
      <c r="G154" s="4" t="n">
        <f aca="false">SUM(base!U154:AF154)+N(base!AK154)</f>
        <v>10</v>
      </c>
      <c r="H154" s="14" t="n">
        <f aca="false">N(base!S154)</f>
        <v>8</v>
      </c>
      <c r="I154" s="6" t="n">
        <f aca="false">IFERROR(G154/H154,0)</f>
        <v>1.25</v>
      </c>
      <c r="J154" s="4" t="n">
        <f aca="false">SUM(base!AG154:AJ154)</f>
        <v>0</v>
      </c>
      <c r="K154" s="5" t="n">
        <f aca="false">IFERROR((base!AG154+base!AH154)/(base!K154+base!L154),0)</f>
        <v>0</v>
      </c>
      <c r="L154" s="5" t="n">
        <f aca="false">MAX(N(base!AI154),K154*N(base!M154))</f>
        <v>0</v>
      </c>
      <c r="M154" s="5" t="n">
        <f aca="false">MAX(N(base!AJ154),K154*N(base!N154))</f>
        <v>0</v>
      </c>
      <c r="N154" s="5" t="n">
        <f aca="false">base!AG154+base!AH154+L154+M154</f>
        <v>0</v>
      </c>
      <c r="O154" s="14" t="n">
        <f aca="false">N(base!T154)</f>
        <v>3</v>
      </c>
      <c r="P154" s="6" t="n">
        <f aca="false">IFERROR(J154/O154,0)</f>
        <v>0</v>
      </c>
      <c r="Q154" s="6" t="n">
        <f aca="false">IFERROR(N154/O154,0)</f>
        <v>0</v>
      </c>
      <c r="R154" s="6" t="n">
        <f aca="false">Parametros!$B$3*I154+Parametros!$B$4*P154</f>
        <v>0.875</v>
      </c>
      <c r="S154" s="6" t="n">
        <f aca="false">Parametros!$B$3*I154+Parametros!$B$4*Q154</f>
        <v>0.875</v>
      </c>
      <c r="T154" s="4" t="str">
        <f aca="false">IF(S154&lt;tablas!$C$3,"No activa",INDEX(tablas!$B$3:$B$8,MATCH(S154,tablas!$C$3:$C$8,1)))</f>
        <v>N1</v>
      </c>
      <c r="U154" s="15" t="n">
        <f aca="false">IF(S154&lt;tablas!$C$3,0,INDEX(tablas!$D$3:$D$8,MATCH(S154,tablas!$C$3:$C$8,1)))</f>
        <v>0.3</v>
      </c>
      <c r="V154" s="16" t="n">
        <f aca="false">N(base!AQ154)</f>
        <v>1200</v>
      </c>
      <c r="W154" s="7" t="n">
        <f aca="false">U154*V154</f>
        <v>360</v>
      </c>
      <c r="X154" s="4" t="str">
        <f aca="false">IF(R154&lt;tablas!$C$3,"No activa",INDEX(tablas!$B$3:$B$8,MATCH(R154,tablas!$C$3:$C$8,1)))</f>
        <v>N1</v>
      </c>
      <c r="Y154" s="7" t="n">
        <f aca="false">IF(R154&lt;tablas!$C$3,0,INDEX(tablas!$D$3:$D$8,MATCH(R154,tablas!$C$3:$C$8,1)))*V154</f>
        <v>360</v>
      </c>
      <c r="Z154" s="4" t="str">
        <f aca="false">IF(S154&gt;=tablas!$C$3,"Activa",IF(S154&gt;=Parametros!$B$5,"Cerca","No activa"))</f>
        <v>Activa</v>
      </c>
      <c r="AA154" s="6" t="n">
        <f aca="false">MAX(0,tablas!$C$3-S154)</f>
        <v>0</v>
      </c>
    </row>
    <row r="155" customFormat="false" ht="15" hidden="false" customHeight="false" outlineLevel="0" collapsed="false">
      <c r="A155" s="14" t="str">
        <f aca="false">base!A155</f>
        <v>71785004-7</v>
      </c>
      <c r="B155" s="14" t="str">
        <f aca="false">base!E155</f>
        <v>Outbound Premium</v>
      </c>
      <c r="C155" s="14" t="str">
        <f aca="false">base!D155</f>
        <v>Outbound</v>
      </c>
      <c r="D155" s="14" t="str">
        <f aca="false">base!F155</f>
        <v>HENRRY JHONATHAN POMPA EUGENIO</v>
      </c>
      <c r="E155" s="14" t="str">
        <f aca="false">base!G155</f>
        <v>JHIMY TAFUR CHAVEZ</v>
      </c>
      <c r="F155" s="14" t="n">
        <f aca="false">N(base!O155)</f>
        <v>1</v>
      </c>
      <c r="G155" s="4" t="n">
        <f aca="false">SUM(base!U155:AF155)+N(base!AK155)</f>
        <v>19</v>
      </c>
      <c r="H155" s="14" t="n">
        <f aca="false">N(base!S155)</f>
        <v>8</v>
      </c>
      <c r="I155" s="6" t="n">
        <f aca="false">IFERROR(G155/H155,0)</f>
        <v>2.375</v>
      </c>
      <c r="J155" s="4" t="n">
        <f aca="false">SUM(base!AG155:AJ155)</f>
        <v>1</v>
      </c>
      <c r="K155" s="5" t="n">
        <f aca="false">IFERROR((base!AG155+base!AH155)/(base!K155+base!L155),0)</f>
        <v>0.5</v>
      </c>
      <c r="L155" s="5" t="n">
        <f aca="false">MAX(N(base!AI155),K155*N(base!M155))</f>
        <v>0.5</v>
      </c>
      <c r="M155" s="5" t="n">
        <f aca="false">MAX(N(base!AJ155),K155*N(base!N155))</f>
        <v>0.5</v>
      </c>
      <c r="N155" s="5" t="n">
        <f aca="false">base!AG155+base!AH155+L155+M155</f>
        <v>2</v>
      </c>
      <c r="O155" s="14" t="n">
        <f aca="false">N(base!T155)</f>
        <v>3</v>
      </c>
      <c r="P155" s="6" t="n">
        <f aca="false">IFERROR(J155/O155,0)</f>
        <v>0.333333333333333</v>
      </c>
      <c r="Q155" s="6" t="n">
        <f aca="false">IFERROR(N155/O155,0)</f>
        <v>0.666666666666667</v>
      </c>
      <c r="R155" s="6" t="n">
        <f aca="false">Parametros!$B$3*I155+Parametros!$B$4*P155</f>
        <v>1.7625</v>
      </c>
      <c r="S155" s="6" t="n">
        <f aca="false">Parametros!$B$3*I155+Parametros!$B$4*Q155</f>
        <v>1.8625</v>
      </c>
      <c r="T155" s="4" t="str">
        <f aca="false">IF(S155&lt;tablas!$C$3,"No activa",INDEX(tablas!$B$3:$B$8,MATCH(S155,tablas!$C$3:$C$8,1)))</f>
        <v>N6</v>
      </c>
      <c r="U155" s="15" t="n">
        <f aca="false">IF(S155&lt;tablas!$C$3,0,INDEX(tablas!$D$3:$D$8,MATCH(S155,tablas!$C$3:$C$8,1)))</f>
        <v>2</v>
      </c>
      <c r="V155" s="16" t="n">
        <f aca="false">N(base!AQ155)</f>
        <v>1200</v>
      </c>
      <c r="W155" s="7" t="n">
        <f aca="false">U155*V155</f>
        <v>2400</v>
      </c>
      <c r="X155" s="4" t="str">
        <f aca="false">IF(R155&lt;tablas!$C$3,"No activa",INDEX(tablas!$B$3:$B$8,MATCH(R155,tablas!$C$3:$C$8,1)))</f>
        <v>N6</v>
      </c>
      <c r="Y155" s="7" t="n">
        <f aca="false">IF(R155&lt;tablas!$C$3,0,INDEX(tablas!$D$3:$D$8,MATCH(R155,tablas!$C$3:$C$8,1)))*V155</f>
        <v>2400</v>
      </c>
      <c r="Z155" s="4" t="str">
        <f aca="false">IF(S155&gt;=tablas!$C$3,"Activa",IF(S155&gt;=Parametros!$B$5,"Cerca","No activa"))</f>
        <v>Activa</v>
      </c>
      <c r="AA155" s="6" t="n">
        <f aca="false">MAX(0,tablas!$C$3-S155)</f>
        <v>0</v>
      </c>
    </row>
    <row r="156" customFormat="false" ht="15" hidden="false" customHeight="false" outlineLevel="0" collapsed="false">
      <c r="A156" s="14" t="str">
        <f aca="false">base!A156</f>
        <v>71031096-9</v>
      </c>
      <c r="B156" s="14" t="str">
        <f aca="false">base!E156</f>
        <v>Outbound Premium</v>
      </c>
      <c r="C156" s="14" t="str">
        <f aca="false">base!D156</f>
        <v>Outbound</v>
      </c>
      <c r="D156" s="14" t="str">
        <f aca="false">base!F156</f>
        <v>HENRRY JHONATHAN POMPA EUGENIO</v>
      </c>
      <c r="E156" s="14" t="str">
        <f aca="false">base!G156</f>
        <v>JHIMY TAFUR CHAVEZ</v>
      </c>
      <c r="F156" s="14" t="n">
        <f aca="false">N(base!O156)</f>
        <v>0.75</v>
      </c>
      <c r="G156" s="4" t="n">
        <f aca="false">SUM(base!U156:AF156)+N(base!AK156)</f>
        <v>0</v>
      </c>
      <c r="H156" s="14" t="n">
        <f aca="false">N(base!S156)</f>
        <v>6</v>
      </c>
      <c r="I156" s="6" t="n">
        <f aca="false">IFERROR(G156/H156,0)</f>
        <v>0</v>
      </c>
      <c r="J156" s="4" t="n">
        <f aca="false">SUM(base!AG156:AJ156)</f>
        <v>0</v>
      </c>
      <c r="K156" s="5" t="n">
        <f aca="false">IFERROR((base!AG156+base!AH156)/(base!K156+base!L156),0)</f>
        <v>0</v>
      </c>
      <c r="L156" s="5" t="n">
        <f aca="false">MAX(N(base!AI156),K156*N(base!M156))</f>
        <v>0</v>
      </c>
      <c r="M156" s="5" t="n">
        <f aca="false">MAX(N(base!AJ156),K156*N(base!N156))</f>
        <v>0</v>
      </c>
      <c r="N156" s="5" t="n">
        <f aca="false">base!AG156+base!AH156+L156+M156</f>
        <v>0</v>
      </c>
      <c r="O156" s="14" t="n">
        <f aca="false">N(base!T156)</f>
        <v>3</v>
      </c>
      <c r="P156" s="6" t="n">
        <f aca="false">IFERROR(J156/O156,0)</f>
        <v>0</v>
      </c>
      <c r="Q156" s="6" t="n">
        <f aca="false">IFERROR(N156/O156,0)</f>
        <v>0</v>
      </c>
      <c r="R156" s="6" t="n">
        <f aca="false">Parametros!$B$3*I156+Parametros!$B$4*P156</f>
        <v>0</v>
      </c>
      <c r="S156" s="6" t="n">
        <f aca="false">Parametros!$B$3*I156+Parametros!$B$4*Q156</f>
        <v>0</v>
      </c>
      <c r="T156" s="4" t="str">
        <f aca="false">IF(S156&lt;tablas!$C$3,"No activa",INDEX(tablas!$B$3:$B$8,MATCH(S156,tablas!$C$3:$C$8,1)))</f>
        <v>No activa</v>
      </c>
      <c r="U156" s="15" t="n">
        <f aca="false">IF(S156&lt;tablas!$C$3,0,INDEX(tablas!$D$3:$D$8,MATCH(S156,tablas!$C$3:$C$8,1)))</f>
        <v>0</v>
      </c>
      <c r="V156" s="16" t="n">
        <f aca="false">N(base!AQ156)</f>
        <v>900</v>
      </c>
      <c r="W156" s="7" t="n">
        <f aca="false">U156*V156</f>
        <v>0</v>
      </c>
      <c r="X156" s="4" t="str">
        <f aca="false">IF(R156&lt;tablas!$C$3,"No activa",INDEX(tablas!$B$3:$B$8,MATCH(R156,tablas!$C$3:$C$8,1)))</f>
        <v>No activa</v>
      </c>
      <c r="Y156" s="7" t="n">
        <f aca="false">IF(R156&lt;tablas!$C$3,0,INDEX(tablas!$D$3:$D$8,MATCH(R156,tablas!$C$3:$C$8,1)))*V156</f>
        <v>0</v>
      </c>
      <c r="Z156" s="4" t="str">
        <f aca="false">IF(S156&gt;=tablas!$C$3,"Activa",IF(S156&gt;=Parametros!$B$5,"Cerca","No activa"))</f>
        <v>No activa</v>
      </c>
      <c r="AA156" s="6" t="n">
        <f aca="false">MAX(0,tablas!$C$3-S156)</f>
        <v>0.8</v>
      </c>
    </row>
    <row r="157" customFormat="false" ht="15" hidden="false" customHeight="false" outlineLevel="0" collapsed="false">
      <c r="A157" s="14" t="str">
        <f aca="false">base!A157</f>
        <v>41726333-6</v>
      </c>
      <c r="B157" s="14" t="str">
        <f aca="false">base!E157</f>
        <v>Outbound Premium</v>
      </c>
      <c r="C157" s="14" t="str">
        <f aca="false">base!D157</f>
        <v>Outbound</v>
      </c>
      <c r="D157" s="14" t="str">
        <f aca="false">base!F157</f>
        <v>HENRRY JHONATHAN POMPA EUGENIO</v>
      </c>
      <c r="E157" s="14" t="str">
        <f aca="false">base!G157</f>
        <v>JHIMY TAFUR CHAVEZ</v>
      </c>
      <c r="F157" s="14" t="n">
        <f aca="false">N(base!O157)</f>
        <v>1</v>
      </c>
      <c r="G157" s="4" t="n">
        <f aca="false">SUM(base!U157:AF157)+N(base!AK157)</f>
        <v>0</v>
      </c>
      <c r="H157" s="14" t="n">
        <f aca="false">N(base!S157)</f>
        <v>8</v>
      </c>
      <c r="I157" s="6" t="n">
        <f aca="false">IFERROR(G157/H157,0)</f>
        <v>0</v>
      </c>
      <c r="J157" s="4" t="n">
        <f aca="false">SUM(base!AG157:AJ157)</f>
        <v>1</v>
      </c>
      <c r="K157" s="5" t="n">
        <f aca="false">IFERROR((base!AG157+base!AH157)/(base!K157+base!L157),0)</f>
        <v>0.5</v>
      </c>
      <c r="L157" s="5" t="n">
        <f aca="false">MAX(N(base!AI157),K157*N(base!M157))</f>
        <v>0.5</v>
      </c>
      <c r="M157" s="5" t="n">
        <f aca="false">MAX(N(base!AJ157),K157*N(base!N157))</f>
        <v>0.5</v>
      </c>
      <c r="N157" s="5" t="n">
        <f aca="false">base!AG157+base!AH157+L157+M157</f>
        <v>2</v>
      </c>
      <c r="O157" s="14" t="n">
        <f aca="false">N(base!T157)</f>
        <v>4</v>
      </c>
      <c r="P157" s="6" t="n">
        <f aca="false">IFERROR(J157/O157,0)</f>
        <v>0.25</v>
      </c>
      <c r="Q157" s="6" t="n">
        <f aca="false">IFERROR(N157/O157,0)</f>
        <v>0.5</v>
      </c>
      <c r="R157" s="6" t="n">
        <f aca="false">Parametros!$B$3*I157+Parametros!$B$4*P157</f>
        <v>0.075</v>
      </c>
      <c r="S157" s="6" t="n">
        <f aca="false">Parametros!$B$3*I157+Parametros!$B$4*Q157</f>
        <v>0.15</v>
      </c>
      <c r="T157" s="4" t="str">
        <f aca="false">IF(S157&lt;tablas!$C$3,"No activa",INDEX(tablas!$B$3:$B$8,MATCH(S157,tablas!$C$3:$C$8,1)))</f>
        <v>No activa</v>
      </c>
      <c r="U157" s="15" t="n">
        <f aca="false">IF(S157&lt;tablas!$C$3,0,INDEX(tablas!$D$3:$D$8,MATCH(S157,tablas!$C$3:$C$8,1)))</f>
        <v>0</v>
      </c>
      <c r="V157" s="16" t="n">
        <f aca="false">N(base!AQ157)</f>
        <v>1200</v>
      </c>
      <c r="W157" s="7" t="n">
        <f aca="false">U157*V157</f>
        <v>0</v>
      </c>
      <c r="X157" s="4" t="str">
        <f aca="false">IF(R157&lt;tablas!$C$3,"No activa",INDEX(tablas!$B$3:$B$8,MATCH(R157,tablas!$C$3:$C$8,1)))</f>
        <v>No activa</v>
      </c>
      <c r="Y157" s="7" t="n">
        <f aca="false">IF(R157&lt;tablas!$C$3,0,INDEX(tablas!$D$3:$D$8,MATCH(R157,tablas!$C$3:$C$8,1)))*V157</f>
        <v>0</v>
      </c>
      <c r="Z157" s="4" t="str">
        <f aca="false">IF(S157&gt;=tablas!$C$3,"Activa",IF(S157&gt;=Parametros!$B$5,"Cerca","No activa"))</f>
        <v>No activa</v>
      </c>
      <c r="AA157" s="6" t="n">
        <f aca="false">MAX(0,tablas!$C$3-S157)</f>
        <v>0.65</v>
      </c>
    </row>
    <row r="158" customFormat="false" ht="15" hidden="false" customHeight="false" outlineLevel="0" collapsed="false">
      <c r="A158" s="14" t="str">
        <f aca="false">base!A158</f>
        <v>76934229-5</v>
      </c>
      <c r="B158" s="14" t="str">
        <f aca="false">base!E158</f>
        <v>Outbound Premium</v>
      </c>
      <c r="C158" s="14" t="str">
        <f aca="false">base!D158</f>
        <v>Outbound</v>
      </c>
      <c r="D158" s="14" t="str">
        <f aca="false">base!F158</f>
        <v>HENRRY JHONATHAN POMPA EUGENIO</v>
      </c>
      <c r="E158" s="14" t="str">
        <f aca="false">base!G158</f>
        <v>JHIMY TAFUR CHAVEZ</v>
      </c>
      <c r="F158" s="14" t="n">
        <f aca="false">N(base!O158)</f>
        <v>1</v>
      </c>
      <c r="G158" s="4" t="n">
        <f aca="false">SUM(base!U158:AF158)+N(base!AK158)</f>
        <v>4</v>
      </c>
      <c r="H158" s="14" t="n">
        <f aca="false">N(base!S158)</f>
        <v>8</v>
      </c>
      <c r="I158" s="6" t="n">
        <f aca="false">IFERROR(G158/H158,0)</f>
        <v>0.5</v>
      </c>
      <c r="J158" s="4" t="n">
        <f aca="false">SUM(base!AG158:AJ158)</f>
        <v>0</v>
      </c>
      <c r="K158" s="5" t="n">
        <f aca="false">IFERROR((base!AG158+base!AH158)/(base!K158+base!L158),0)</f>
        <v>0</v>
      </c>
      <c r="L158" s="5" t="n">
        <f aca="false">MAX(N(base!AI158),K158*N(base!M158))</f>
        <v>0</v>
      </c>
      <c r="M158" s="5" t="n">
        <f aca="false">MAX(N(base!AJ158),K158*N(base!N158))</f>
        <v>0</v>
      </c>
      <c r="N158" s="5" t="n">
        <f aca="false">base!AG158+base!AH158+L158+M158</f>
        <v>0</v>
      </c>
      <c r="O158" s="14" t="n">
        <f aca="false">N(base!T158)</f>
        <v>3</v>
      </c>
      <c r="P158" s="6" t="n">
        <f aca="false">IFERROR(J158/O158,0)</f>
        <v>0</v>
      </c>
      <c r="Q158" s="6" t="n">
        <f aca="false">IFERROR(N158/O158,0)</f>
        <v>0</v>
      </c>
      <c r="R158" s="6" t="n">
        <f aca="false">Parametros!$B$3*I158+Parametros!$B$4*P158</f>
        <v>0.35</v>
      </c>
      <c r="S158" s="6" t="n">
        <f aca="false">Parametros!$B$3*I158+Parametros!$B$4*Q158</f>
        <v>0.35</v>
      </c>
      <c r="T158" s="4" t="str">
        <f aca="false">IF(S158&lt;tablas!$C$3,"No activa",INDEX(tablas!$B$3:$B$8,MATCH(S158,tablas!$C$3:$C$8,1)))</f>
        <v>No activa</v>
      </c>
      <c r="U158" s="15" t="n">
        <f aca="false">IF(S158&lt;tablas!$C$3,0,INDEX(tablas!$D$3:$D$8,MATCH(S158,tablas!$C$3:$C$8,1)))</f>
        <v>0</v>
      </c>
      <c r="V158" s="16" t="n">
        <f aca="false">N(base!AQ158)</f>
        <v>1200</v>
      </c>
      <c r="W158" s="7" t="n">
        <f aca="false">U158*V158</f>
        <v>0</v>
      </c>
      <c r="X158" s="4" t="str">
        <f aca="false">IF(R158&lt;tablas!$C$3,"No activa",INDEX(tablas!$B$3:$B$8,MATCH(R158,tablas!$C$3:$C$8,1)))</f>
        <v>No activa</v>
      </c>
      <c r="Y158" s="7" t="n">
        <f aca="false">IF(R158&lt;tablas!$C$3,0,INDEX(tablas!$D$3:$D$8,MATCH(R158,tablas!$C$3:$C$8,1)))*V158</f>
        <v>0</v>
      </c>
      <c r="Z158" s="4" t="str">
        <f aca="false">IF(S158&gt;=tablas!$C$3,"Activa",IF(S158&gt;=Parametros!$B$5,"Cerca","No activa"))</f>
        <v>No activa</v>
      </c>
      <c r="AA158" s="6" t="n">
        <f aca="false">MAX(0,tablas!$C$3-S158)</f>
        <v>0.45</v>
      </c>
    </row>
    <row r="159" customFormat="false" ht="15" hidden="false" customHeight="false" outlineLevel="0" collapsed="false">
      <c r="A159" s="14" t="str">
        <f aca="false">base!A159</f>
        <v>47338127-9</v>
      </c>
      <c r="B159" s="14" t="str">
        <f aca="false">base!E159</f>
        <v>Outbound Premium</v>
      </c>
      <c r="C159" s="14" t="str">
        <f aca="false">base!D159</f>
        <v>Outbound</v>
      </c>
      <c r="D159" s="14" t="str">
        <f aca="false">base!F159</f>
        <v>HENRRY JHONATHAN POMPA EUGENIO</v>
      </c>
      <c r="E159" s="14" t="str">
        <f aca="false">base!G159</f>
        <v>JHIMY TAFUR CHAVEZ</v>
      </c>
      <c r="F159" s="14" t="n">
        <f aca="false">N(base!O159)</f>
        <v>1</v>
      </c>
      <c r="G159" s="4" t="n">
        <f aca="false">SUM(base!U159:AF159)+N(base!AK159)</f>
        <v>0</v>
      </c>
      <c r="H159" s="14" t="n">
        <f aca="false">N(base!S159)</f>
        <v>8</v>
      </c>
      <c r="I159" s="6" t="n">
        <f aca="false">IFERROR(G159/H159,0)</f>
        <v>0</v>
      </c>
      <c r="J159" s="4" t="n">
        <f aca="false">SUM(base!AG159:AJ159)</f>
        <v>0</v>
      </c>
      <c r="K159" s="5" t="n">
        <f aca="false">IFERROR((base!AG159+base!AH159)/(base!K159+base!L159),0)</f>
        <v>0</v>
      </c>
      <c r="L159" s="5" t="n">
        <f aca="false">MAX(N(base!AI159),K159*N(base!M159))</f>
        <v>0</v>
      </c>
      <c r="M159" s="5" t="n">
        <f aca="false">MAX(N(base!AJ159),K159*N(base!N159))</f>
        <v>0</v>
      </c>
      <c r="N159" s="5" t="n">
        <f aca="false">base!AG159+base!AH159+L159+M159</f>
        <v>0</v>
      </c>
      <c r="O159" s="14" t="n">
        <f aca="false">N(base!T159)</f>
        <v>3</v>
      </c>
      <c r="P159" s="6" t="n">
        <f aca="false">IFERROR(J159/O159,0)</f>
        <v>0</v>
      </c>
      <c r="Q159" s="6" t="n">
        <f aca="false">IFERROR(N159/O159,0)</f>
        <v>0</v>
      </c>
      <c r="R159" s="6" t="n">
        <f aca="false">Parametros!$B$3*I159+Parametros!$B$4*P159</f>
        <v>0</v>
      </c>
      <c r="S159" s="6" t="n">
        <f aca="false">Parametros!$B$3*I159+Parametros!$B$4*Q159</f>
        <v>0</v>
      </c>
      <c r="T159" s="4" t="str">
        <f aca="false">IF(S159&lt;tablas!$C$3,"No activa",INDEX(tablas!$B$3:$B$8,MATCH(S159,tablas!$C$3:$C$8,1)))</f>
        <v>No activa</v>
      </c>
      <c r="U159" s="15" t="n">
        <f aca="false">IF(S159&lt;tablas!$C$3,0,INDEX(tablas!$D$3:$D$8,MATCH(S159,tablas!$C$3:$C$8,1)))</f>
        <v>0</v>
      </c>
      <c r="V159" s="16" t="n">
        <f aca="false">N(base!AQ159)</f>
        <v>1200</v>
      </c>
      <c r="W159" s="7" t="n">
        <f aca="false">U159*V159</f>
        <v>0</v>
      </c>
      <c r="X159" s="4" t="str">
        <f aca="false">IF(R159&lt;tablas!$C$3,"No activa",INDEX(tablas!$B$3:$B$8,MATCH(R159,tablas!$C$3:$C$8,1)))</f>
        <v>No activa</v>
      </c>
      <c r="Y159" s="7" t="n">
        <f aca="false">IF(R159&lt;tablas!$C$3,0,INDEX(tablas!$D$3:$D$8,MATCH(R159,tablas!$C$3:$C$8,1)))*V159</f>
        <v>0</v>
      </c>
      <c r="Z159" s="4" t="str">
        <f aca="false">IF(S159&gt;=tablas!$C$3,"Activa",IF(S159&gt;=Parametros!$B$5,"Cerca","No activa"))</f>
        <v>No activa</v>
      </c>
      <c r="AA159" s="6" t="n">
        <f aca="false">MAX(0,tablas!$C$3-S159)</f>
        <v>0.8</v>
      </c>
    </row>
    <row r="160" customFormat="false" ht="15" hidden="false" customHeight="false" outlineLevel="0" collapsed="false">
      <c r="A160" s="14" t="str">
        <f aca="false">base!A160</f>
        <v>77491421-3</v>
      </c>
      <c r="B160" s="14" t="str">
        <f aca="false">base!E160</f>
        <v>Outbound Premium</v>
      </c>
      <c r="C160" s="14" t="str">
        <f aca="false">base!D160</f>
        <v>Outbound</v>
      </c>
      <c r="D160" s="14" t="str">
        <f aca="false">base!F160</f>
        <v>HENRRY JHONATHAN POMPA EUGENIO</v>
      </c>
      <c r="E160" s="14" t="str">
        <f aca="false">base!G160</f>
        <v>JHIMY TAFUR CHAVEZ</v>
      </c>
      <c r="F160" s="14" t="n">
        <f aca="false">N(base!O160)</f>
        <v>1</v>
      </c>
      <c r="G160" s="4" t="n">
        <f aca="false">SUM(base!U160:AF160)+N(base!AK160)</f>
        <v>9</v>
      </c>
      <c r="H160" s="14" t="n">
        <f aca="false">N(base!S160)</f>
        <v>8</v>
      </c>
      <c r="I160" s="6" t="n">
        <f aca="false">IFERROR(G160/H160,0)</f>
        <v>1.125</v>
      </c>
      <c r="J160" s="4" t="n">
        <f aca="false">SUM(base!AG160:AJ160)</f>
        <v>0</v>
      </c>
      <c r="K160" s="5" t="n">
        <f aca="false">IFERROR((base!AG160+base!AH160)/(base!K160+base!L160),0)</f>
        <v>0</v>
      </c>
      <c r="L160" s="5" t="n">
        <f aca="false">MAX(N(base!AI160),K160*N(base!M160))</f>
        <v>0</v>
      </c>
      <c r="M160" s="5" t="n">
        <f aca="false">MAX(N(base!AJ160),K160*N(base!N160))</f>
        <v>0</v>
      </c>
      <c r="N160" s="5" t="n">
        <f aca="false">base!AG160+base!AH160+L160+M160</f>
        <v>0</v>
      </c>
      <c r="O160" s="14" t="n">
        <f aca="false">N(base!T160)</f>
        <v>3</v>
      </c>
      <c r="P160" s="6" t="n">
        <f aca="false">IFERROR(J160/O160,0)</f>
        <v>0</v>
      </c>
      <c r="Q160" s="6" t="n">
        <f aca="false">IFERROR(N160/O160,0)</f>
        <v>0</v>
      </c>
      <c r="R160" s="6" t="n">
        <f aca="false">Parametros!$B$3*I160+Parametros!$B$4*P160</f>
        <v>0.7875</v>
      </c>
      <c r="S160" s="6" t="n">
        <f aca="false">Parametros!$B$3*I160+Parametros!$B$4*Q160</f>
        <v>0.7875</v>
      </c>
      <c r="T160" s="4" t="str">
        <f aca="false">IF(S160&lt;tablas!$C$3,"No activa",INDEX(tablas!$B$3:$B$8,MATCH(S160,tablas!$C$3:$C$8,1)))</f>
        <v>No activa</v>
      </c>
      <c r="U160" s="15" t="n">
        <f aca="false">IF(S160&lt;tablas!$C$3,0,INDEX(tablas!$D$3:$D$8,MATCH(S160,tablas!$C$3:$C$8,1)))</f>
        <v>0</v>
      </c>
      <c r="V160" s="16" t="n">
        <f aca="false">N(base!AQ160)</f>
        <v>1200</v>
      </c>
      <c r="W160" s="7" t="n">
        <f aca="false">U160*V160</f>
        <v>0</v>
      </c>
      <c r="X160" s="4" t="str">
        <f aca="false">IF(R160&lt;tablas!$C$3,"No activa",INDEX(tablas!$B$3:$B$8,MATCH(R160,tablas!$C$3:$C$8,1)))</f>
        <v>No activa</v>
      </c>
      <c r="Y160" s="7" t="n">
        <f aca="false">IF(R160&lt;tablas!$C$3,0,INDEX(tablas!$D$3:$D$8,MATCH(R160,tablas!$C$3:$C$8,1)))*V160</f>
        <v>0</v>
      </c>
      <c r="Z160" s="4" t="str">
        <f aca="false">IF(S160&gt;=tablas!$C$3,"Activa",IF(S160&gt;=Parametros!$B$5,"Cerca","No activa"))</f>
        <v>Cerca</v>
      </c>
      <c r="AA160" s="6" t="n">
        <f aca="false">MAX(0,tablas!$C$3-S160)</f>
        <v>0.0125000000000001</v>
      </c>
    </row>
    <row r="161" customFormat="false" ht="15" hidden="false" customHeight="false" outlineLevel="0" collapsed="false">
      <c r="A161" s="14" t="str">
        <f aca="false">base!A161</f>
        <v>72447633-9</v>
      </c>
      <c r="B161" s="14" t="str">
        <f aca="false">base!E161</f>
        <v>Outbound Premium</v>
      </c>
      <c r="C161" s="14" t="str">
        <f aca="false">base!D161</f>
        <v>Outbound</v>
      </c>
      <c r="D161" s="14" t="str">
        <f aca="false">base!F161</f>
        <v>HENRRY JHONATHAN POMPA EUGENIO</v>
      </c>
      <c r="E161" s="14" t="str">
        <f aca="false">base!G161</f>
        <v>JHIMY TAFUR CHAVEZ</v>
      </c>
      <c r="F161" s="14" t="n">
        <f aca="false">N(base!O161)</f>
        <v>0.5</v>
      </c>
      <c r="G161" s="4" t="n">
        <f aca="false">SUM(base!U161:AF161)+N(base!AK161)</f>
        <v>3</v>
      </c>
      <c r="H161" s="14" t="n">
        <f aca="false">N(base!S161)</f>
        <v>4</v>
      </c>
      <c r="I161" s="6" t="n">
        <f aca="false">IFERROR(G161/H161,0)</f>
        <v>0.75</v>
      </c>
      <c r="J161" s="4" t="n">
        <f aca="false">SUM(base!AG161:AJ161)</f>
        <v>0</v>
      </c>
      <c r="K161" s="5" t="n">
        <f aca="false">IFERROR((base!AG161+base!AH161)/(base!K161+base!L161),0)</f>
        <v>0</v>
      </c>
      <c r="L161" s="5" t="n">
        <f aca="false">MAX(N(base!AI161),K161*N(base!M161))</f>
        <v>0</v>
      </c>
      <c r="M161" s="5" t="n">
        <f aca="false">MAX(N(base!AJ161),K161*N(base!N161))</f>
        <v>0</v>
      </c>
      <c r="N161" s="5" t="n">
        <f aca="false">base!AG161+base!AH161+L161+M161</f>
        <v>0</v>
      </c>
      <c r="O161" s="14" t="n">
        <f aca="false">N(base!T161)</f>
        <v>2</v>
      </c>
      <c r="P161" s="6" t="n">
        <f aca="false">IFERROR(J161/O161,0)</f>
        <v>0</v>
      </c>
      <c r="Q161" s="6" t="n">
        <f aca="false">IFERROR(N161/O161,0)</f>
        <v>0</v>
      </c>
      <c r="R161" s="6" t="n">
        <f aca="false">Parametros!$B$3*I161+Parametros!$B$4*P161</f>
        <v>0.525</v>
      </c>
      <c r="S161" s="6" t="n">
        <f aca="false">Parametros!$B$3*I161+Parametros!$B$4*Q161</f>
        <v>0.525</v>
      </c>
      <c r="T161" s="4" t="str">
        <f aca="false">IF(S161&lt;tablas!$C$3,"No activa",INDEX(tablas!$B$3:$B$8,MATCH(S161,tablas!$C$3:$C$8,1)))</f>
        <v>No activa</v>
      </c>
      <c r="U161" s="15" t="n">
        <f aca="false">IF(S161&lt;tablas!$C$3,0,INDEX(tablas!$D$3:$D$8,MATCH(S161,tablas!$C$3:$C$8,1)))</f>
        <v>0</v>
      </c>
      <c r="V161" s="16" t="n">
        <f aca="false">N(base!AQ161)</f>
        <v>600</v>
      </c>
      <c r="W161" s="7" t="n">
        <f aca="false">U161*V161</f>
        <v>0</v>
      </c>
      <c r="X161" s="4" t="str">
        <f aca="false">IF(R161&lt;tablas!$C$3,"No activa",INDEX(tablas!$B$3:$B$8,MATCH(R161,tablas!$C$3:$C$8,1)))</f>
        <v>No activa</v>
      </c>
      <c r="Y161" s="7" t="n">
        <f aca="false">IF(R161&lt;tablas!$C$3,0,INDEX(tablas!$D$3:$D$8,MATCH(R161,tablas!$C$3:$C$8,1)))*V161</f>
        <v>0</v>
      </c>
      <c r="Z161" s="4" t="str">
        <f aca="false">IF(S161&gt;=tablas!$C$3,"Activa",IF(S161&gt;=Parametros!$B$5,"Cerca","No activa"))</f>
        <v>No activa</v>
      </c>
      <c r="AA161" s="6" t="n">
        <f aca="false">MAX(0,tablas!$C$3-S161)</f>
        <v>0.275</v>
      </c>
    </row>
    <row r="162" customFormat="false" ht="15" hidden="false" customHeight="false" outlineLevel="0" collapsed="false">
      <c r="A162" s="14" t="str">
        <f aca="false">base!A162</f>
        <v>60500525-5</v>
      </c>
      <c r="B162" s="14" t="str">
        <f aca="false">base!E162</f>
        <v>Outbound Premium</v>
      </c>
      <c r="C162" s="14" t="str">
        <f aca="false">base!D162</f>
        <v>Outbound</v>
      </c>
      <c r="D162" s="14" t="str">
        <f aca="false">base!F162</f>
        <v>HENRRY JHONATHAN POMPA EUGENIO</v>
      </c>
      <c r="E162" s="14" t="str">
        <f aca="false">base!G162</f>
        <v>JHIMY TAFUR CHAVEZ</v>
      </c>
      <c r="F162" s="14" t="n">
        <f aca="false">N(base!O162)</f>
        <v>1</v>
      </c>
      <c r="G162" s="4" t="n">
        <f aca="false">SUM(base!U162:AF162)+N(base!AK162)</f>
        <v>0</v>
      </c>
      <c r="H162" s="14" t="n">
        <f aca="false">N(base!S162)</f>
        <v>5</v>
      </c>
      <c r="I162" s="6" t="n">
        <f aca="false">IFERROR(G162/H162,0)</f>
        <v>0</v>
      </c>
      <c r="J162" s="4" t="n">
        <f aca="false">SUM(base!AG162:AJ162)</f>
        <v>0</v>
      </c>
      <c r="K162" s="5" t="n">
        <f aca="false">IFERROR((base!AG162+base!AH162)/(base!K162+base!L162),0)</f>
        <v>0</v>
      </c>
      <c r="L162" s="5" t="n">
        <f aca="false">MAX(N(base!AI162),K162*N(base!M162))</f>
        <v>0</v>
      </c>
      <c r="M162" s="5" t="n">
        <f aca="false">MAX(N(base!AJ162),K162*N(base!N162))</f>
        <v>0</v>
      </c>
      <c r="N162" s="5" t="n">
        <f aca="false">base!AG162+base!AH162+L162+M162</f>
        <v>0</v>
      </c>
      <c r="O162" s="14" t="n">
        <f aca="false">N(base!T162)</f>
        <v>2</v>
      </c>
      <c r="P162" s="6" t="n">
        <f aca="false">IFERROR(J162/O162,0)</f>
        <v>0</v>
      </c>
      <c r="Q162" s="6" t="n">
        <f aca="false">IFERROR(N162/O162,0)</f>
        <v>0</v>
      </c>
      <c r="R162" s="6" t="n">
        <f aca="false">Parametros!$B$3*I162+Parametros!$B$4*P162</f>
        <v>0</v>
      </c>
      <c r="S162" s="6" t="n">
        <f aca="false">Parametros!$B$3*I162+Parametros!$B$4*Q162</f>
        <v>0</v>
      </c>
      <c r="T162" s="4" t="str">
        <f aca="false">IF(S162&lt;tablas!$C$3,"No activa",INDEX(tablas!$B$3:$B$8,MATCH(S162,tablas!$C$3:$C$8,1)))</f>
        <v>No activa</v>
      </c>
      <c r="U162" s="15" t="n">
        <f aca="false">IF(S162&lt;tablas!$C$3,0,INDEX(tablas!$D$3:$D$8,MATCH(S162,tablas!$C$3:$C$8,1)))</f>
        <v>0</v>
      </c>
      <c r="V162" s="16" t="n">
        <f aca="false">N(base!AQ162)</f>
        <v>1200</v>
      </c>
      <c r="W162" s="7" t="n">
        <f aca="false">U162*V162</f>
        <v>0</v>
      </c>
      <c r="X162" s="4" t="str">
        <f aca="false">IF(R162&lt;tablas!$C$3,"No activa",INDEX(tablas!$B$3:$B$8,MATCH(R162,tablas!$C$3:$C$8,1)))</f>
        <v>No activa</v>
      </c>
      <c r="Y162" s="7" t="n">
        <f aca="false">IF(R162&lt;tablas!$C$3,0,INDEX(tablas!$D$3:$D$8,MATCH(R162,tablas!$C$3:$C$8,1)))*V162</f>
        <v>0</v>
      </c>
      <c r="Z162" s="4" t="str">
        <f aca="false">IF(S162&gt;=tablas!$C$3,"Activa",IF(S162&gt;=Parametros!$B$5,"Cerca","No activa"))</f>
        <v>No activa</v>
      </c>
      <c r="AA162" s="6" t="n">
        <f aca="false">MAX(0,tablas!$C$3-S162)</f>
        <v>0.8</v>
      </c>
    </row>
    <row r="163" customFormat="false" ht="15" hidden="false" customHeight="false" outlineLevel="0" collapsed="false">
      <c r="A163" s="14" t="str">
        <f aca="false">base!A163</f>
        <v>75065040-1</v>
      </c>
      <c r="B163" s="14" t="str">
        <f aca="false">base!E163</f>
        <v>Outbound Premium</v>
      </c>
      <c r="C163" s="14" t="str">
        <f aca="false">base!D163</f>
        <v>Outbound</v>
      </c>
      <c r="D163" s="14" t="str">
        <f aca="false">base!F163</f>
        <v>HENRRY JHONATHAN POMPA EUGENIO</v>
      </c>
      <c r="E163" s="14" t="str">
        <f aca="false">base!G163</f>
        <v>JHIMY TAFUR CHAVEZ</v>
      </c>
      <c r="F163" s="14" t="n">
        <f aca="false">N(base!O163)</f>
        <v>1</v>
      </c>
      <c r="G163" s="4" t="n">
        <f aca="false">SUM(base!U163:AF163)+N(base!AK163)</f>
        <v>0</v>
      </c>
      <c r="H163" s="14" t="n">
        <f aca="false">N(base!S163)</f>
        <v>5</v>
      </c>
      <c r="I163" s="6" t="n">
        <f aca="false">IFERROR(G163/H163,0)</f>
        <v>0</v>
      </c>
      <c r="J163" s="4" t="n">
        <f aca="false">SUM(base!AG163:AJ163)</f>
        <v>0</v>
      </c>
      <c r="K163" s="5" t="n">
        <f aca="false">IFERROR((base!AG163+base!AH163)/(base!K163+base!L163),0)</f>
        <v>0</v>
      </c>
      <c r="L163" s="5" t="n">
        <f aca="false">MAX(N(base!AI163),K163*N(base!M163))</f>
        <v>0</v>
      </c>
      <c r="M163" s="5" t="n">
        <f aca="false">MAX(N(base!AJ163),K163*N(base!N163))</f>
        <v>0</v>
      </c>
      <c r="N163" s="5" t="n">
        <f aca="false">base!AG163+base!AH163+L163+M163</f>
        <v>0</v>
      </c>
      <c r="O163" s="14" t="n">
        <f aca="false">N(base!T163)</f>
        <v>2</v>
      </c>
      <c r="P163" s="6" t="n">
        <f aca="false">IFERROR(J163/O163,0)</f>
        <v>0</v>
      </c>
      <c r="Q163" s="6" t="n">
        <f aca="false">IFERROR(N163/O163,0)</f>
        <v>0</v>
      </c>
      <c r="R163" s="6" t="n">
        <f aca="false">Parametros!$B$3*I163+Parametros!$B$4*P163</f>
        <v>0</v>
      </c>
      <c r="S163" s="6" t="n">
        <f aca="false">Parametros!$B$3*I163+Parametros!$B$4*Q163</f>
        <v>0</v>
      </c>
      <c r="T163" s="4" t="str">
        <f aca="false">IF(S163&lt;tablas!$C$3,"No activa",INDEX(tablas!$B$3:$B$8,MATCH(S163,tablas!$C$3:$C$8,1)))</f>
        <v>No activa</v>
      </c>
      <c r="U163" s="15" t="n">
        <f aca="false">IF(S163&lt;tablas!$C$3,0,INDEX(tablas!$D$3:$D$8,MATCH(S163,tablas!$C$3:$C$8,1)))</f>
        <v>0</v>
      </c>
      <c r="V163" s="16" t="n">
        <f aca="false">N(base!AQ163)</f>
        <v>1200</v>
      </c>
      <c r="W163" s="7" t="n">
        <f aca="false">U163*V163</f>
        <v>0</v>
      </c>
      <c r="X163" s="4" t="str">
        <f aca="false">IF(R163&lt;tablas!$C$3,"No activa",INDEX(tablas!$B$3:$B$8,MATCH(R163,tablas!$C$3:$C$8,1)))</f>
        <v>No activa</v>
      </c>
      <c r="Y163" s="7" t="n">
        <f aca="false">IF(R163&lt;tablas!$C$3,0,INDEX(tablas!$D$3:$D$8,MATCH(R163,tablas!$C$3:$C$8,1)))*V163</f>
        <v>0</v>
      </c>
      <c r="Z163" s="4" t="str">
        <f aca="false">IF(S163&gt;=tablas!$C$3,"Activa",IF(S163&gt;=Parametros!$B$5,"Cerca","No activa"))</f>
        <v>No activa</v>
      </c>
      <c r="AA163" s="6" t="n">
        <f aca="false">MAX(0,tablas!$C$3-S163)</f>
        <v>0.8</v>
      </c>
    </row>
    <row r="164" customFormat="false" ht="15" hidden="false" customHeight="false" outlineLevel="0" collapsed="false">
      <c r="A164" s="14" t="str">
        <f aca="false">base!A164</f>
        <v>74219240-2</v>
      </c>
      <c r="B164" s="14" t="str">
        <f aca="false">base!E164</f>
        <v>Outbound Premium</v>
      </c>
      <c r="C164" s="14" t="str">
        <f aca="false">base!D164</f>
        <v>Outbound</v>
      </c>
      <c r="D164" s="14" t="str">
        <f aca="false">base!F164</f>
        <v>HENRRY JHONATHAN POMPA EUGENIO</v>
      </c>
      <c r="E164" s="14" t="str">
        <f aca="false">base!G164</f>
        <v>JHIMY TAFUR CHAVEZ</v>
      </c>
      <c r="F164" s="14" t="n">
        <f aca="false">N(base!O164)</f>
        <v>1</v>
      </c>
      <c r="G164" s="4" t="n">
        <f aca="false">SUM(base!U164:AF164)+N(base!AK164)</f>
        <v>15</v>
      </c>
      <c r="H164" s="14" t="n">
        <f aca="false">N(base!S164)</f>
        <v>5</v>
      </c>
      <c r="I164" s="6" t="n">
        <f aca="false">IFERROR(G164/H164,0)</f>
        <v>3</v>
      </c>
      <c r="J164" s="4" t="n">
        <f aca="false">SUM(base!AG164:AJ164)</f>
        <v>0</v>
      </c>
      <c r="K164" s="5" t="n">
        <f aca="false">IFERROR((base!AG164+base!AH164)/(base!K164+base!L164),0)</f>
        <v>0</v>
      </c>
      <c r="L164" s="5" t="n">
        <f aca="false">MAX(N(base!AI164),K164*N(base!M164))</f>
        <v>0</v>
      </c>
      <c r="M164" s="5" t="n">
        <f aca="false">MAX(N(base!AJ164),K164*N(base!N164))</f>
        <v>0</v>
      </c>
      <c r="N164" s="5" t="n">
        <f aca="false">base!AG164+base!AH164+L164+M164</f>
        <v>0</v>
      </c>
      <c r="O164" s="14" t="n">
        <f aca="false">N(base!T164)</f>
        <v>2</v>
      </c>
      <c r="P164" s="6" t="n">
        <f aca="false">IFERROR(J164/O164,0)</f>
        <v>0</v>
      </c>
      <c r="Q164" s="6" t="n">
        <f aca="false">IFERROR(N164/O164,0)</f>
        <v>0</v>
      </c>
      <c r="R164" s="6" t="n">
        <f aca="false">Parametros!$B$3*I164+Parametros!$B$4*P164</f>
        <v>2.1</v>
      </c>
      <c r="S164" s="6" t="n">
        <f aca="false">Parametros!$B$3*I164+Parametros!$B$4*Q164</f>
        <v>2.1</v>
      </c>
      <c r="T164" s="4" t="str">
        <f aca="false">IF(S164&lt;tablas!$C$3,"No activa",INDEX(tablas!$B$3:$B$8,MATCH(S164,tablas!$C$3:$C$8,1)))</f>
        <v>N6</v>
      </c>
      <c r="U164" s="15" t="n">
        <f aca="false">IF(S164&lt;tablas!$C$3,0,INDEX(tablas!$D$3:$D$8,MATCH(S164,tablas!$C$3:$C$8,1)))</f>
        <v>2</v>
      </c>
      <c r="V164" s="16" t="n">
        <f aca="false">N(base!AQ164)</f>
        <v>1200</v>
      </c>
      <c r="W164" s="7" t="n">
        <f aca="false">U164*V164</f>
        <v>2400</v>
      </c>
      <c r="X164" s="4" t="str">
        <f aca="false">IF(R164&lt;tablas!$C$3,"No activa",INDEX(tablas!$B$3:$B$8,MATCH(R164,tablas!$C$3:$C$8,1)))</f>
        <v>N6</v>
      </c>
      <c r="Y164" s="7" t="n">
        <f aca="false">IF(R164&lt;tablas!$C$3,0,INDEX(tablas!$D$3:$D$8,MATCH(R164,tablas!$C$3:$C$8,1)))*V164</f>
        <v>2400</v>
      </c>
      <c r="Z164" s="4" t="str">
        <f aca="false">IF(S164&gt;=tablas!$C$3,"Activa",IF(S164&gt;=Parametros!$B$5,"Cerca","No activa"))</f>
        <v>Activa</v>
      </c>
      <c r="AA164" s="6" t="n">
        <f aca="false">MAX(0,tablas!$C$3-S164)</f>
        <v>0</v>
      </c>
    </row>
    <row r="165" customFormat="false" ht="15" hidden="false" customHeight="false" outlineLevel="0" collapsed="false">
      <c r="A165" s="14" t="str">
        <f aca="false">base!A165</f>
        <v>47583548-0</v>
      </c>
      <c r="B165" s="14" t="str">
        <f aca="false">base!E165</f>
        <v>Outbound Premium</v>
      </c>
      <c r="C165" s="14" t="str">
        <f aca="false">base!D165</f>
        <v>Outbound</v>
      </c>
      <c r="D165" s="14" t="str">
        <f aca="false">base!F165</f>
        <v>HENRRY JHONATHAN POMPA EUGENIO</v>
      </c>
      <c r="E165" s="14" t="str">
        <f aca="false">base!G165</f>
        <v>JHIMY TAFUR CHAVEZ</v>
      </c>
      <c r="F165" s="14" t="n">
        <f aca="false">N(base!O165)</f>
        <v>1</v>
      </c>
      <c r="G165" s="4" t="n">
        <f aca="false">SUM(base!U165:AF165)+N(base!AK165)</f>
        <v>4</v>
      </c>
      <c r="H165" s="14" t="n">
        <f aca="false">N(base!S165)</f>
        <v>5</v>
      </c>
      <c r="I165" s="6" t="n">
        <f aca="false">IFERROR(G165/H165,0)</f>
        <v>0.8</v>
      </c>
      <c r="J165" s="4" t="n">
        <f aca="false">SUM(base!AG165:AJ165)</f>
        <v>0</v>
      </c>
      <c r="K165" s="5" t="n">
        <f aca="false">IFERROR((base!AG165+base!AH165)/(base!K165+base!L165),0)</f>
        <v>0</v>
      </c>
      <c r="L165" s="5" t="n">
        <f aca="false">MAX(N(base!AI165),K165*N(base!M165))</f>
        <v>0</v>
      </c>
      <c r="M165" s="5" t="n">
        <f aca="false">MAX(N(base!AJ165),K165*N(base!N165))</f>
        <v>0</v>
      </c>
      <c r="N165" s="5" t="n">
        <f aca="false">base!AG165+base!AH165+L165+M165</f>
        <v>0</v>
      </c>
      <c r="O165" s="14" t="n">
        <f aca="false">N(base!T165)</f>
        <v>2</v>
      </c>
      <c r="P165" s="6" t="n">
        <f aca="false">IFERROR(J165/O165,0)</f>
        <v>0</v>
      </c>
      <c r="Q165" s="6" t="n">
        <f aca="false">IFERROR(N165/O165,0)</f>
        <v>0</v>
      </c>
      <c r="R165" s="6" t="n">
        <f aca="false">Parametros!$B$3*I165+Parametros!$B$4*P165</f>
        <v>0.56</v>
      </c>
      <c r="S165" s="6" t="n">
        <f aca="false">Parametros!$B$3*I165+Parametros!$B$4*Q165</f>
        <v>0.56</v>
      </c>
      <c r="T165" s="4" t="str">
        <f aca="false">IF(S165&lt;tablas!$C$3,"No activa",INDEX(tablas!$B$3:$B$8,MATCH(S165,tablas!$C$3:$C$8,1)))</f>
        <v>No activa</v>
      </c>
      <c r="U165" s="15" t="n">
        <f aca="false">IF(S165&lt;tablas!$C$3,0,INDEX(tablas!$D$3:$D$8,MATCH(S165,tablas!$C$3:$C$8,1)))</f>
        <v>0</v>
      </c>
      <c r="V165" s="16" t="n">
        <f aca="false">N(base!AQ165)</f>
        <v>1200</v>
      </c>
      <c r="W165" s="7" t="n">
        <f aca="false">U165*V165</f>
        <v>0</v>
      </c>
      <c r="X165" s="4" t="str">
        <f aca="false">IF(R165&lt;tablas!$C$3,"No activa",INDEX(tablas!$B$3:$B$8,MATCH(R165,tablas!$C$3:$C$8,1)))</f>
        <v>No activa</v>
      </c>
      <c r="Y165" s="7" t="n">
        <f aca="false">IF(R165&lt;tablas!$C$3,0,INDEX(tablas!$D$3:$D$8,MATCH(R165,tablas!$C$3:$C$8,1)))*V165</f>
        <v>0</v>
      </c>
      <c r="Z165" s="4" t="str">
        <f aca="false">IF(S165&gt;=tablas!$C$3,"Activa",IF(S165&gt;=Parametros!$B$5,"Cerca","No activa"))</f>
        <v>No activa</v>
      </c>
      <c r="AA165" s="6" t="n">
        <f aca="false">MAX(0,tablas!$C$3-S165)</f>
        <v>0.24</v>
      </c>
    </row>
    <row r="166" customFormat="false" ht="15" hidden="false" customHeight="false" outlineLevel="0" collapsed="false">
      <c r="A166" s="14" t="str">
        <f aca="false">base!A166</f>
        <v>73900945-1</v>
      </c>
      <c r="B166" s="14" t="str">
        <f aca="false">base!E166</f>
        <v>Inbound Premium</v>
      </c>
      <c r="C166" s="14" t="str">
        <f aca="false">base!D166</f>
        <v>Inbound</v>
      </c>
      <c r="D166" s="14" t="str">
        <f aca="false">base!F166</f>
        <v>SAMANTHA ALIAGA ZURITA</v>
      </c>
      <c r="E166" s="14" t="str">
        <f aca="false">base!G166</f>
        <v>JHIMY TAFUR CHAVEZ</v>
      </c>
      <c r="F166" s="14" t="n">
        <f aca="false">N(base!O166)</f>
        <v>1</v>
      </c>
      <c r="G166" s="4" t="n">
        <f aca="false">SUM(base!U166:AF166)+N(base!AK166)</f>
        <v>4</v>
      </c>
      <c r="H166" s="14" t="n">
        <f aca="false">N(base!S166)</f>
        <v>16</v>
      </c>
      <c r="I166" s="6" t="n">
        <f aca="false">IFERROR(G166/H166,0)</f>
        <v>0.25</v>
      </c>
      <c r="J166" s="4" t="n">
        <f aca="false">SUM(base!AG166:AJ166)</f>
        <v>2</v>
      </c>
      <c r="K166" s="5" t="n">
        <f aca="false">IFERROR((base!AG166+base!AH166)/(base!K166+base!L166),0)</f>
        <v>1</v>
      </c>
      <c r="L166" s="5" t="n">
        <f aca="false">MAX(N(base!AI166),K166*N(base!M166))</f>
        <v>1</v>
      </c>
      <c r="M166" s="5" t="n">
        <f aca="false">MAX(N(base!AJ166),K166*N(base!N166))</f>
        <v>1</v>
      </c>
      <c r="N166" s="5" t="n">
        <f aca="false">base!AG166+base!AH166+L166+M166</f>
        <v>4</v>
      </c>
      <c r="O166" s="14" t="n">
        <f aca="false">N(base!T166)</f>
        <v>5</v>
      </c>
      <c r="P166" s="6" t="n">
        <f aca="false">IFERROR(J166/O166,0)</f>
        <v>0.4</v>
      </c>
      <c r="Q166" s="6" t="n">
        <f aca="false">IFERROR(N166/O166,0)</f>
        <v>0.8</v>
      </c>
      <c r="R166" s="6" t="n">
        <f aca="false">Parametros!$B$3*I166+Parametros!$B$4*P166</f>
        <v>0.295</v>
      </c>
      <c r="S166" s="6" t="n">
        <f aca="false">Parametros!$B$3*I166+Parametros!$B$4*Q166</f>
        <v>0.415</v>
      </c>
      <c r="T166" s="4" t="str">
        <f aca="false">IF(S166&lt;tablas!$C$3,"No activa",INDEX(tablas!$B$3:$B$8,MATCH(S166,tablas!$C$3:$C$8,1)))</f>
        <v>No activa</v>
      </c>
      <c r="U166" s="15" t="n">
        <f aca="false">IF(S166&lt;tablas!$C$3,0,INDEX(tablas!$D$3:$D$8,MATCH(S166,tablas!$C$3:$C$8,1)))</f>
        <v>0</v>
      </c>
      <c r="V166" s="16" t="n">
        <f aca="false">N(base!AQ166)</f>
        <v>1800</v>
      </c>
      <c r="W166" s="7" t="n">
        <f aca="false">U166*V166</f>
        <v>0</v>
      </c>
      <c r="X166" s="4" t="str">
        <f aca="false">IF(R166&lt;tablas!$C$3,"No activa",INDEX(tablas!$B$3:$B$8,MATCH(R166,tablas!$C$3:$C$8,1)))</f>
        <v>No activa</v>
      </c>
      <c r="Y166" s="7" t="n">
        <f aca="false">IF(R166&lt;tablas!$C$3,0,INDEX(tablas!$D$3:$D$8,MATCH(R166,tablas!$C$3:$C$8,1)))*V166</f>
        <v>0</v>
      </c>
      <c r="Z166" s="4" t="str">
        <f aca="false">IF(S166&gt;=tablas!$C$3,"Activa",IF(S166&gt;=Parametros!$B$5,"Cerca","No activa"))</f>
        <v>No activa</v>
      </c>
      <c r="AA166" s="6" t="n">
        <f aca="false">MAX(0,tablas!$C$3-S166)</f>
        <v>0.385</v>
      </c>
    </row>
    <row r="167" customFormat="false" ht="15" hidden="false" customHeight="false" outlineLevel="0" collapsed="false">
      <c r="A167" s="14" t="str">
        <f aca="false">base!A167</f>
        <v>70662167-4</v>
      </c>
      <c r="B167" s="14" t="str">
        <f aca="false">base!E167</f>
        <v>Inbound Premium</v>
      </c>
      <c r="C167" s="14" t="str">
        <f aca="false">base!D167</f>
        <v>Inbound</v>
      </c>
      <c r="D167" s="14" t="str">
        <f aca="false">base!F167</f>
        <v>SAMANTHA ALIAGA ZURITA</v>
      </c>
      <c r="E167" s="14" t="str">
        <f aca="false">base!G167</f>
        <v>JHIMY TAFUR CHAVEZ</v>
      </c>
      <c r="F167" s="14" t="n">
        <f aca="false">N(base!O167)</f>
        <v>1</v>
      </c>
      <c r="G167" s="4" t="n">
        <f aca="false">SUM(base!U167:AF167)+N(base!AK167)</f>
        <v>1</v>
      </c>
      <c r="H167" s="14" t="n">
        <f aca="false">N(base!S167)</f>
        <v>16</v>
      </c>
      <c r="I167" s="6" t="n">
        <f aca="false">IFERROR(G167/H167,0)</f>
        <v>0.0625</v>
      </c>
      <c r="J167" s="4" t="n">
        <f aca="false">SUM(base!AG167:AJ167)</f>
        <v>2</v>
      </c>
      <c r="K167" s="5" t="n">
        <f aca="false">IFERROR((base!AG167+base!AH167)/(base!K167+base!L167),0)</f>
        <v>1</v>
      </c>
      <c r="L167" s="5" t="n">
        <f aca="false">MAX(N(base!AI167),K167*N(base!M167))</f>
        <v>1</v>
      </c>
      <c r="M167" s="5" t="n">
        <f aca="false">MAX(N(base!AJ167),K167*N(base!N167))</f>
        <v>1</v>
      </c>
      <c r="N167" s="5" t="n">
        <f aca="false">base!AG167+base!AH167+L167+M167</f>
        <v>4</v>
      </c>
      <c r="O167" s="14" t="n">
        <f aca="false">N(base!T167)</f>
        <v>6</v>
      </c>
      <c r="P167" s="6" t="n">
        <f aca="false">IFERROR(J167/O167,0)</f>
        <v>0.333333333333333</v>
      </c>
      <c r="Q167" s="6" t="n">
        <f aca="false">IFERROR(N167/O167,0)</f>
        <v>0.666666666666667</v>
      </c>
      <c r="R167" s="6" t="n">
        <f aca="false">Parametros!$B$3*I167+Parametros!$B$4*P167</f>
        <v>0.14375</v>
      </c>
      <c r="S167" s="6" t="n">
        <f aca="false">Parametros!$B$3*I167+Parametros!$B$4*Q167</f>
        <v>0.24375</v>
      </c>
      <c r="T167" s="4" t="str">
        <f aca="false">IF(S167&lt;tablas!$C$3,"No activa",INDEX(tablas!$B$3:$B$8,MATCH(S167,tablas!$C$3:$C$8,1)))</f>
        <v>No activa</v>
      </c>
      <c r="U167" s="15" t="n">
        <f aca="false">IF(S167&lt;tablas!$C$3,0,INDEX(tablas!$D$3:$D$8,MATCH(S167,tablas!$C$3:$C$8,1)))</f>
        <v>0</v>
      </c>
      <c r="V167" s="16" t="n">
        <f aca="false">N(base!AQ167)</f>
        <v>1200</v>
      </c>
      <c r="W167" s="7" t="n">
        <f aca="false">U167*V167</f>
        <v>0</v>
      </c>
      <c r="X167" s="4" t="str">
        <f aca="false">IF(R167&lt;tablas!$C$3,"No activa",INDEX(tablas!$B$3:$B$8,MATCH(R167,tablas!$C$3:$C$8,1)))</f>
        <v>No activa</v>
      </c>
      <c r="Y167" s="7" t="n">
        <f aca="false">IF(R167&lt;tablas!$C$3,0,INDEX(tablas!$D$3:$D$8,MATCH(R167,tablas!$C$3:$C$8,1)))*V167</f>
        <v>0</v>
      </c>
      <c r="Z167" s="4" t="str">
        <f aca="false">IF(S167&gt;=tablas!$C$3,"Activa",IF(S167&gt;=Parametros!$B$5,"Cerca","No activa"))</f>
        <v>No activa</v>
      </c>
      <c r="AA167" s="6" t="n">
        <f aca="false">MAX(0,tablas!$C$3-S167)</f>
        <v>0.55625</v>
      </c>
    </row>
    <row r="168" customFormat="false" ht="15" hidden="false" customHeight="false" outlineLevel="0" collapsed="false">
      <c r="A168" s="14" t="str">
        <f aca="false">base!A168</f>
        <v>73600985-0</v>
      </c>
      <c r="B168" s="14" t="str">
        <f aca="false">base!E168</f>
        <v>Inbound Premium</v>
      </c>
      <c r="C168" s="14" t="str">
        <f aca="false">base!D168</f>
        <v>Inbound</v>
      </c>
      <c r="D168" s="14" t="str">
        <f aca="false">base!F168</f>
        <v>SAMANTHA ALIAGA ZURITA</v>
      </c>
      <c r="E168" s="14" t="str">
        <f aca="false">base!G168</f>
        <v>JHIMY TAFUR CHAVEZ</v>
      </c>
      <c r="F168" s="14" t="n">
        <f aca="false">N(base!O168)</f>
        <v>1</v>
      </c>
      <c r="G168" s="4" t="n">
        <f aca="false">SUM(base!U168:AF168)+N(base!AK168)</f>
        <v>10</v>
      </c>
      <c r="H168" s="14" t="n">
        <f aca="false">N(base!S168)</f>
        <v>16</v>
      </c>
      <c r="I168" s="6" t="n">
        <f aca="false">IFERROR(G168/H168,0)</f>
        <v>0.625</v>
      </c>
      <c r="J168" s="4" t="n">
        <f aca="false">SUM(base!AG168:AJ168)</f>
        <v>4</v>
      </c>
      <c r="K168" s="5" t="n">
        <f aca="false">IFERROR((base!AG168+base!AH168)/(base!K168+base!L168),0)</f>
        <v>2</v>
      </c>
      <c r="L168" s="5" t="n">
        <f aca="false">MAX(N(base!AI168),K168*N(base!M168))</f>
        <v>2</v>
      </c>
      <c r="M168" s="5" t="n">
        <f aca="false">MAX(N(base!AJ168),K168*N(base!N168))</f>
        <v>2</v>
      </c>
      <c r="N168" s="5" t="n">
        <f aca="false">base!AG168+base!AH168+L168+M168</f>
        <v>8</v>
      </c>
      <c r="O168" s="14" t="n">
        <f aca="false">N(base!T168)</f>
        <v>6</v>
      </c>
      <c r="P168" s="6" t="n">
        <f aca="false">IFERROR(J168/O168,0)</f>
        <v>0.666666666666667</v>
      </c>
      <c r="Q168" s="6" t="n">
        <f aca="false">IFERROR(N168/O168,0)</f>
        <v>1.33333333333333</v>
      </c>
      <c r="R168" s="6" t="n">
        <f aca="false">Parametros!$B$3*I168+Parametros!$B$4*P168</f>
        <v>0.6375</v>
      </c>
      <c r="S168" s="6" t="n">
        <f aca="false">Parametros!$B$3*I168+Parametros!$B$4*Q168</f>
        <v>0.8375</v>
      </c>
      <c r="T168" s="4" t="str">
        <f aca="false">IF(S168&lt;tablas!$C$3,"No activa",INDEX(tablas!$B$3:$B$8,MATCH(S168,tablas!$C$3:$C$8,1)))</f>
        <v>N1</v>
      </c>
      <c r="U168" s="15" t="n">
        <f aca="false">IF(S168&lt;tablas!$C$3,0,INDEX(tablas!$D$3:$D$8,MATCH(S168,tablas!$C$3:$C$8,1)))</f>
        <v>0.3</v>
      </c>
      <c r="V168" s="16" t="n">
        <f aca="false">N(base!AQ168)</f>
        <v>1200</v>
      </c>
      <c r="W168" s="7" t="n">
        <f aca="false">U168*V168</f>
        <v>360</v>
      </c>
      <c r="X168" s="4" t="str">
        <f aca="false">IF(R168&lt;tablas!$C$3,"No activa",INDEX(tablas!$B$3:$B$8,MATCH(R168,tablas!$C$3:$C$8,1)))</f>
        <v>No activa</v>
      </c>
      <c r="Y168" s="7" t="n">
        <f aca="false">IF(R168&lt;tablas!$C$3,0,INDEX(tablas!$D$3:$D$8,MATCH(R168,tablas!$C$3:$C$8,1)))*V168</f>
        <v>0</v>
      </c>
      <c r="Z168" s="4" t="str">
        <f aca="false">IF(S168&gt;=tablas!$C$3,"Activa",IF(S168&gt;=Parametros!$B$5,"Cerca","No activa"))</f>
        <v>Activa</v>
      </c>
      <c r="AA168" s="6" t="n">
        <f aca="false">MAX(0,tablas!$C$3-S168)</f>
        <v>0</v>
      </c>
    </row>
    <row r="169" customFormat="false" ht="15" hidden="false" customHeight="false" outlineLevel="0" collapsed="false">
      <c r="A169" s="14" t="str">
        <f aca="false">base!A169</f>
        <v>43020786-1</v>
      </c>
      <c r="B169" s="14" t="str">
        <f aca="false">base!E169</f>
        <v>Inbound Premium</v>
      </c>
      <c r="C169" s="14" t="str">
        <f aca="false">base!D169</f>
        <v>Inbound</v>
      </c>
      <c r="D169" s="14" t="str">
        <f aca="false">base!F169</f>
        <v>SAMANTHA ALIAGA ZURITA</v>
      </c>
      <c r="E169" s="14" t="str">
        <f aca="false">base!G169</f>
        <v>JHIMY TAFUR CHAVEZ</v>
      </c>
      <c r="F169" s="14" t="n">
        <f aca="false">N(base!O169)</f>
        <v>1</v>
      </c>
      <c r="G169" s="4" t="n">
        <f aca="false">SUM(base!U169:AF169)+N(base!AK169)</f>
        <v>0</v>
      </c>
      <c r="H169" s="14" t="n">
        <f aca="false">N(base!S169)</f>
        <v>16</v>
      </c>
      <c r="I169" s="6" t="n">
        <f aca="false">IFERROR(G169/H169,0)</f>
        <v>0</v>
      </c>
      <c r="J169" s="4" t="n">
        <f aca="false">SUM(base!AG169:AJ169)</f>
        <v>4</v>
      </c>
      <c r="K169" s="5" t="n">
        <f aca="false">IFERROR((base!AG169+base!AH169)/(base!K169+base!L169),0)</f>
        <v>2</v>
      </c>
      <c r="L169" s="5" t="n">
        <f aca="false">MAX(N(base!AI169),K169*N(base!M169))</f>
        <v>2</v>
      </c>
      <c r="M169" s="5" t="n">
        <f aca="false">MAX(N(base!AJ169),K169*N(base!N169))</f>
        <v>2</v>
      </c>
      <c r="N169" s="5" t="n">
        <f aca="false">base!AG169+base!AH169+L169+M169</f>
        <v>8</v>
      </c>
      <c r="O169" s="14" t="n">
        <f aca="false">N(base!T169)</f>
        <v>6</v>
      </c>
      <c r="P169" s="6" t="n">
        <f aca="false">IFERROR(J169/O169,0)</f>
        <v>0.666666666666667</v>
      </c>
      <c r="Q169" s="6" t="n">
        <f aca="false">IFERROR(N169/O169,0)</f>
        <v>1.33333333333333</v>
      </c>
      <c r="R169" s="6" t="n">
        <f aca="false">Parametros!$B$3*I169+Parametros!$B$4*P169</f>
        <v>0.2</v>
      </c>
      <c r="S169" s="6" t="n">
        <f aca="false">Parametros!$B$3*I169+Parametros!$B$4*Q169</f>
        <v>0.4</v>
      </c>
      <c r="T169" s="4" t="str">
        <f aca="false">IF(S169&lt;tablas!$C$3,"No activa",INDEX(tablas!$B$3:$B$8,MATCH(S169,tablas!$C$3:$C$8,1)))</f>
        <v>No activa</v>
      </c>
      <c r="U169" s="15" t="n">
        <f aca="false">IF(S169&lt;tablas!$C$3,0,INDEX(tablas!$D$3:$D$8,MATCH(S169,tablas!$C$3:$C$8,1)))</f>
        <v>0</v>
      </c>
      <c r="V169" s="16" t="n">
        <f aca="false">N(base!AQ169)</f>
        <v>1800</v>
      </c>
      <c r="W169" s="7" t="n">
        <f aca="false">U169*V169</f>
        <v>0</v>
      </c>
      <c r="X169" s="4" t="str">
        <f aca="false">IF(R169&lt;tablas!$C$3,"No activa",INDEX(tablas!$B$3:$B$8,MATCH(R169,tablas!$C$3:$C$8,1)))</f>
        <v>No activa</v>
      </c>
      <c r="Y169" s="7" t="n">
        <f aca="false">IF(R169&lt;tablas!$C$3,0,INDEX(tablas!$D$3:$D$8,MATCH(R169,tablas!$C$3:$C$8,1)))*V169</f>
        <v>0</v>
      </c>
      <c r="Z169" s="4" t="str">
        <f aca="false">IF(S169&gt;=tablas!$C$3,"Activa",IF(S169&gt;=Parametros!$B$5,"Cerca","No activa"))</f>
        <v>No activa</v>
      </c>
      <c r="AA169" s="6" t="n">
        <f aca="false">MAX(0,tablas!$C$3-S169)</f>
        <v>0.4</v>
      </c>
    </row>
    <row r="170" customFormat="false" ht="15" hidden="false" customHeight="false" outlineLevel="0" collapsed="false">
      <c r="A170" s="14" t="str">
        <f aca="false">base!A170</f>
        <v>73440107-8</v>
      </c>
      <c r="B170" s="14" t="str">
        <f aca="false">base!E170</f>
        <v>Inbound Premium</v>
      </c>
      <c r="C170" s="14" t="str">
        <f aca="false">base!D170</f>
        <v>Inbound</v>
      </c>
      <c r="D170" s="14" t="str">
        <f aca="false">base!F170</f>
        <v>SAMANTHA ALIAGA ZURITA</v>
      </c>
      <c r="E170" s="14" t="str">
        <f aca="false">base!G170</f>
        <v>JHIMY TAFUR CHAVEZ</v>
      </c>
      <c r="F170" s="14" t="n">
        <f aca="false">N(base!O170)</f>
        <v>1</v>
      </c>
      <c r="G170" s="4" t="n">
        <f aca="false">SUM(base!U170:AF170)+N(base!AK170)</f>
        <v>12</v>
      </c>
      <c r="H170" s="14" t="n">
        <f aca="false">N(base!S170)</f>
        <v>16</v>
      </c>
      <c r="I170" s="6" t="n">
        <f aca="false">IFERROR(G170/H170,0)</f>
        <v>0.75</v>
      </c>
      <c r="J170" s="4" t="n">
        <f aca="false">SUM(base!AG170:AJ170)</f>
        <v>5</v>
      </c>
      <c r="K170" s="5" t="n">
        <f aca="false">IFERROR((base!AG170+base!AH170)/(base!K170+base!L170),0)</f>
        <v>2.5</v>
      </c>
      <c r="L170" s="5" t="n">
        <f aca="false">MAX(N(base!AI170),K170*N(base!M170))</f>
        <v>2.5</v>
      </c>
      <c r="M170" s="5" t="n">
        <f aca="false">MAX(N(base!AJ170),K170*N(base!N170))</f>
        <v>2.5</v>
      </c>
      <c r="N170" s="5" t="n">
        <f aca="false">base!AG170+base!AH170+L170+M170</f>
        <v>10</v>
      </c>
      <c r="O170" s="14" t="n">
        <f aca="false">N(base!T170)</f>
        <v>6</v>
      </c>
      <c r="P170" s="6" t="n">
        <f aca="false">IFERROR(J170/O170,0)</f>
        <v>0.833333333333333</v>
      </c>
      <c r="Q170" s="6" t="n">
        <f aca="false">IFERROR(N170/O170,0)</f>
        <v>1.66666666666667</v>
      </c>
      <c r="R170" s="6" t="n">
        <f aca="false">Parametros!$B$3*I170+Parametros!$B$4*P170</f>
        <v>0.775</v>
      </c>
      <c r="S170" s="6" t="n">
        <f aca="false">Parametros!$B$3*I170+Parametros!$B$4*Q170</f>
        <v>1.025</v>
      </c>
      <c r="T170" s="4" t="str">
        <f aca="false">IF(S170&lt;tablas!$C$3,"No activa",INDEX(tablas!$B$3:$B$8,MATCH(S170,tablas!$C$3:$C$8,1)))</f>
        <v>N3</v>
      </c>
      <c r="U170" s="15" t="n">
        <f aca="false">IF(S170&lt;tablas!$C$3,0,INDEX(tablas!$D$3:$D$8,MATCH(S170,tablas!$C$3:$C$8,1)))</f>
        <v>1</v>
      </c>
      <c r="V170" s="16" t="n">
        <f aca="false">N(base!AQ170)</f>
        <v>1200</v>
      </c>
      <c r="W170" s="7" t="n">
        <f aca="false">U170*V170</f>
        <v>1200</v>
      </c>
      <c r="X170" s="4" t="str">
        <f aca="false">IF(R170&lt;tablas!$C$3,"No activa",INDEX(tablas!$B$3:$B$8,MATCH(R170,tablas!$C$3:$C$8,1)))</f>
        <v>No activa</v>
      </c>
      <c r="Y170" s="7" t="n">
        <f aca="false">IF(R170&lt;tablas!$C$3,0,INDEX(tablas!$D$3:$D$8,MATCH(R170,tablas!$C$3:$C$8,1)))*V170</f>
        <v>0</v>
      </c>
      <c r="Z170" s="4" t="str">
        <f aca="false">IF(S170&gt;=tablas!$C$3,"Activa",IF(S170&gt;=Parametros!$B$5,"Cerca","No activa"))</f>
        <v>Activa</v>
      </c>
      <c r="AA170" s="6" t="n">
        <f aca="false">MAX(0,tablas!$C$3-S170)</f>
        <v>0</v>
      </c>
    </row>
    <row r="171" customFormat="false" ht="15" hidden="false" customHeight="false" outlineLevel="0" collapsed="false">
      <c r="A171" s="14" t="str">
        <f aca="false">base!A171</f>
        <v>73221708-3</v>
      </c>
      <c r="B171" s="14" t="str">
        <f aca="false">base!E171</f>
        <v>Inbound Premium</v>
      </c>
      <c r="C171" s="14" t="str">
        <f aca="false">base!D171</f>
        <v>Inbound</v>
      </c>
      <c r="D171" s="14" t="str">
        <f aca="false">base!F171</f>
        <v>SAMANTHA ALIAGA ZURITA</v>
      </c>
      <c r="E171" s="14" t="str">
        <f aca="false">base!G171</f>
        <v>JHIMY TAFUR CHAVEZ</v>
      </c>
      <c r="F171" s="14" t="n">
        <f aca="false">N(base!O171)</f>
        <v>1</v>
      </c>
      <c r="G171" s="4" t="n">
        <f aca="false">SUM(base!U171:AF171)+N(base!AK171)</f>
        <v>12</v>
      </c>
      <c r="H171" s="14" t="n">
        <f aca="false">N(base!S171)</f>
        <v>16</v>
      </c>
      <c r="I171" s="6" t="n">
        <f aca="false">IFERROR(G171/H171,0)</f>
        <v>0.75</v>
      </c>
      <c r="J171" s="4" t="n">
        <f aca="false">SUM(base!AG171:AJ171)</f>
        <v>2</v>
      </c>
      <c r="K171" s="5" t="n">
        <f aca="false">IFERROR((base!AG171+base!AH171)/(base!K171+base!L171),0)</f>
        <v>0.5</v>
      </c>
      <c r="L171" s="5" t="n">
        <f aca="false">MAX(N(base!AI171),K171*N(base!M171))</f>
        <v>1</v>
      </c>
      <c r="M171" s="5" t="n">
        <f aca="false">MAX(N(base!AJ171),K171*N(base!N171))</f>
        <v>0.5</v>
      </c>
      <c r="N171" s="5" t="n">
        <f aca="false">base!AG171+base!AH171+L171+M171</f>
        <v>2.5</v>
      </c>
      <c r="O171" s="14" t="n">
        <f aca="false">N(base!T171)</f>
        <v>6</v>
      </c>
      <c r="P171" s="6" t="n">
        <f aca="false">IFERROR(J171/O171,0)</f>
        <v>0.333333333333333</v>
      </c>
      <c r="Q171" s="6" t="n">
        <f aca="false">IFERROR(N171/O171,0)</f>
        <v>0.416666666666667</v>
      </c>
      <c r="R171" s="6" t="n">
        <f aca="false">Parametros!$B$3*I171+Parametros!$B$4*P171</f>
        <v>0.625</v>
      </c>
      <c r="S171" s="6" t="n">
        <f aca="false">Parametros!$B$3*I171+Parametros!$B$4*Q171</f>
        <v>0.65</v>
      </c>
      <c r="T171" s="4" t="str">
        <f aca="false">IF(S171&lt;tablas!$C$3,"No activa",INDEX(tablas!$B$3:$B$8,MATCH(S171,tablas!$C$3:$C$8,1)))</f>
        <v>No activa</v>
      </c>
      <c r="U171" s="15" t="n">
        <f aca="false">IF(S171&lt;tablas!$C$3,0,INDEX(tablas!$D$3:$D$8,MATCH(S171,tablas!$C$3:$C$8,1)))</f>
        <v>0</v>
      </c>
      <c r="V171" s="16" t="n">
        <f aca="false">N(base!AQ171)</f>
        <v>1800</v>
      </c>
      <c r="W171" s="7" t="n">
        <f aca="false">U171*V171</f>
        <v>0</v>
      </c>
      <c r="X171" s="4" t="str">
        <f aca="false">IF(R171&lt;tablas!$C$3,"No activa",INDEX(tablas!$B$3:$B$8,MATCH(R171,tablas!$C$3:$C$8,1)))</f>
        <v>No activa</v>
      </c>
      <c r="Y171" s="7" t="n">
        <f aca="false">IF(R171&lt;tablas!$C$3,0,INDEX(tablas!$D$3:$D$8,MATCH(R171,tablas!$C$3:$C$8,1)))*V171</f>
        <v>0</v>
      </c>
      <c r="Z171" s="4" t="str">
        <f aca="false">IF(S171&gt;=tablas!$C$3,"Activa",IF(S171&gt;=Parametros!$B$5,"Cerca","No activa"))</f>
        <v>No activa</v>
      </c>
      <c r="AA171" s="6" t="n">
        <f aca="false">MAX(0,tablas!$C$3-S171)</f>
        <v>0.15</v>
      </c>
    </row>
    <row r="172" customFormat="false" ht="15" hidden="false" customHeight="false" outlineLevel="0" collapsed="false">
      <c r="A172" s="14" t="str">
        <f aca="false">base!A172</f>
        <v>70181782-1</v>
      </c>
      <c r="B172" s="14" t="str">
        <f aca="false">base!E172</f>
        <v>Inbound Premium</v>
      </c>
      <c r="C172" s="14" t="str">
        <f aca="false">base!D172</f>
        <v>Inbound</v>
      </c>
      <c r="D172" s="14" t="str">
        <f aca="false">base!F172</f>
        <v>SAMANTHA ALIAGA ZURITA</v>
      </c>
      <c r="E172" s="14" t="str">
        <f aca="false">base!G172</f>
        <v>JHIMY TAFUR CHAVEZ</v>
      </c>
      <c r="F172" s="14" t="n">
        <f aca="false">N(base!O172)</f>
        <v>1</v>
      </c>
      <c r="G172" s="4" t="n">
        <f aca="false">SUM(base!U172:AF172)+N(base!AK172)</f>
        <v>0</v>
      </c>
      <c r="H172" s="14" t="n">
        <f aca="false">N(base!S172)</f>
        <v>16</v>
      </c>
      <c r="I172" s="6" t="n">
        <f aca="false">IFERROR(G172/H172,0)</f>
        <v>0</v>
      </c>
      <c r="J172" s="4" t="n">
        <f aca="false">SUM(base!AG172:AJ172)</f>
        <v>0</v>
      </c>
      <c r="K172" s="5" t="n">
        <f aca="false">IFERROR((base!AG172+base!AH172)/(base!K172+base!L172),0)</f>
        <v>0</v>
      </c>
      <c r="L172" s="5" t="n">
        <f aca="false">MAX(N(base!AI172),K172*N(base!M172))</f>
        <v>0</v>
      </c>
      <c r="M172" s="5" t="n">
        <f aca="false">MAX(N(base!AJ172),K172*N(base!N172))</f>
        <v>0</v>
      </c>
      <c r="N172" s="5" t="n">
        <f aca="false">base!AG172+base!AH172+L172+M172</f>
        <v>0</v>
      </c>
      <c r="O172" s="14" t="n">
        <f aca="false">N(base!T172)</f>
        <v>6</v>
      </c>
      <c r="P172" s="6" t="n">
        <f aca="false">IFERROR(J172/O172,0)</f>
        <v>0</v>
      </c>
      <c r="Q172" s="6" t="n">
        <f aca="false">IFERROR(N172/O172,0)</f>
        <v>0</v>
      </c>
      <c r="R172" s="6" t="n">
        <f aca="false">Parametros!$B$3*I172+Parametros!$B$4*P172</f>
        <v>0</v>
      </c>
      <c r="S172" s="6" t="n">
        <f aca="false">Parametros!$B$3*I172+Parametros!$B$4*Q172</f>
        <v>0</v>
      </c>
      <c r="T172" s="4" t="str">
        <f aca="false">IF(S172&lt;tablas!$C$3,"No activa",INDEX(tablas!$B$3:$B$8,MATCH(S172,tablas!$C$3:$C$8,1)))</f>
        <v>No activa</v>
      </c>
      <c r="U172" s="15" t="n">
        <f aca="false">IF(S172&lt;tablas!$C$3,0,INDEX(tablas!$D$3:$D$8,MATCH(S172,tablas!$C$3:$C$8,1)))</f>
        <v>0</v>
      </c>
      <c r="V172" s="16" t="n">
        <f aca="false">N(base!AQ172)</f>
        <v>1200</v>
      </c>
      <c r="W172" s="7" t="n">
        <f aca="false">U172*V172</f>
        <v>0</v>
      </c>
      <c r="X172" s="4" t="str">
        <f aca="false">IF(R172&lt;tablas!$C$3,"No activa",INDEX(tablas!$B$3:$B$8,MATCH(R172,tablas!$C$3:$C$8,1)))</f>
        <v>No activa</v>
      </c>
      <c r="Y172" s="7" t="n">
        <f aca="false">IF(R172&lt;tablas!$C$3,0,INDEX(tablas!$D$3:$D$8,MATCH(R172,tablas!$C$3:$C$8,1)))*V172</f>
        <v>0</v>
      </c>
      <c r="Z172" s="4" t="str">
        <f aca="false">IF(S172&gt;=tablas!$C$3,"Activa",IF(S172&gt;=Parametros!$B$5,"Cerca","No activa"))</f>
        <v>No activa</v>
      </c>
      <c r="AA172" s="6" t="n">
        <f aca="false">MAX(0,tablas!$C$3-S172)</f>
        <v>0.8</v>
      </c>
    </row>
    <row r="173" customFormat="false" ht="15" hidden="false" customHeight="false" outlineLevel="0" collapsed="false">
      <c r="A173" s="14" t="str">
        <f aca="false">base!A173</f>
        <v>72654814-1</v>
      </c>
      <c r="B173" s="14" t="str">
        <f aca="false">base!E173</f>
        <v>Inbound Premium</v>
      </c>
      <c r="C173" s="14" t="str">
        <f aca="false">base!D173</f>
        <v>Inbound</v>
      </c>
      <c r="D173" s="14" t="str">
        <f aca="false">base!F173</f>
        <v>SAMANTHA ALIAGA ZURITA</v>
      </c>
      <c r="E173" s="14" t="str">
        <f aca="false">base!G173</f>
        <v>JHIMY TAFUR CHAVEZ</v>
      </c>
      <c r="F173" s="14" t="n">
        <f aca="false">N(base!O173)</f>
        <v>0.5</v>
      </c>
      <c r="G173" s="4" t="n">
        <f aca="false">SUM(base!U173:AF173)+N(base!AK173)</f>
        <v>2</v>
      </c>
      <c r="H173" s="14" t="n">
        <f aca="false">N(base!S173)</f>
        <v>8</v>
      </c>
      <c r="I173" s="6" t="n">
        <f aca="false">IFERROR(G173/H173,0)</f>
        <v>0.25</v>
      </c>
      <c r="J173" s="4" t="n">
        <f aca="false">SUM(base!AG173:AJ173)</f>
        <v>4</v>
      </c>
      <c r="K173" s="5" t="n">
        <f aca="false">IFERROR((base!AG173+base!AH173)/(base!K173+base!L173),0)</f>
        <v>2</v>
      </c>
      <c r="L173" s="5" t="n">
        <f aca="false">MAX(N(base!AI173),K173*N(base!M173))</f>
        <v>0</v>
      </c>
      <c r="M173" s="5" t="n">
        <f aca="false">MAX(N(base!AJ173),K173*N(base!N173))</f>
        <v>0</v>
      </c>
      <c r="N173" s="5" t="n">
        <f aca="false">base!AG173+base!AH173+L173+M173</f>
        <v>4</v>
      </c>
      <c r="O173" s="14" t="n">
        <f aca="false">N(base!T173)</f>
        <v>3</v>
      </c>
      <c r="P173" s="6" t="n">
        <f aca="false">IFERROR(J173/O173,0)</f>
        <v>1.33333333333333</v>
      </c>
      <c r="Q173" s="6" t="n">
        <f aca="false">IFERROR(N173/O173,0)</f>
        <v>1.33333333333333</v>
      </c>
      <c r="R173" s="6" t="n">
        <f aca="false">Parametros!$B$3*I173+Parametros!$B$4*P173</f>
        <v>0.575</v>
      </c>
      <c r="S173" s="6" t="n">
        <f aca="false">Parametros!$B$3*I173+Parametros!$B$4*Q173</f>
        <v>0.575</v>
      </c>
      <c r="T173" s="4" t="str">
        <f aca="false">IF(S173&lt;tablas!$C$3,"No activa",INDEX(tablas!$B$3:$B$8,MATCH(S173,tablas!$C$3:$C$8,1)))</f>
        <v>No activa</v>
      </c>
      <c r="U173" s="15" t="n">
        <f aca="false">IF(S173&lt;tablas!$C$3,0,INDEX(tablas!$D$3:$D$8,MATCH(S173,tablas!$C$3:$C$8,1)))</f>
        <v>0</v>
      </c>
      <c r="V173" s="16" t="n">
        <f aca="false">N(base!AQ173)</f>
        <v>600</v>
      </c>
      <c r="W173" s="7" t="n">
        <f aca="false">U173*V173</f>
        <v>0</v>
      </c>
      <c r="X173" s="4" t="str">
        <f aca="false">IF(R173&lt;tablas!$C$3,"No activa",INDEX(tablas!$B$3:$B$8,MATCH(R173,tablas!$C$3:$C$8,1)))</f>
        <v>No activa</v>
      </c>
      <c r="Y173" s="7" t="n">
        <f aca="false">IF(R173&lt;tablas!$C$3,0,INDEX(tablas!$D$3:$D$8,MATCH(R173,tablas!$C$3:$C$8,1)))*V173</f>
        <v>0</v>
      </c>
      <c r="Z173" s="4" t="str">
        <f aca="false">IF(S173&gt;=tablas!$C$3,"Activa",IF(S173&gt;=Parametros!$B$5,"Cerca","No activa"))</f>
        <v>No activa</v>
      </c>
      <c r="AA173" s="6" t="n">
        <f aca="false">MAX(0,tablas!$C$3-S173)</f>
        <v>0.225</v>
      </c>
    </row>
    <row r="174" customFormat="false" ht="15" hidden="false" customHeight="false" outlineLevel="0" collapsed="false">
      <c r="A174" s="14" t="str">
        <f aca="false">base!A174</f>
        <v>72003477-3</v>
      </c>
      <c r="B174" s="14" t="str">
        <f aca="false">base!E174</f>
        <v>Inbound Premium</v>
      </c>
      <c r="C174" s="14" t="str">
        <f aca="false">base!D174</f>
        <v>Inbound</v>
      </c>
      <c r="D174" s="14" t="str">
        <f aca="false">base!F174</f>
        <v>SAMANTHA ALIAGA ZURITA</v>
      </c>
      <c r="E174" s="14" t="str">
        <f aca="false">base!G174</f>
        <v>JHIMY TAFUR CHAVEZ</v>
      </c>
      <c r="F174" s="14" t="n">
        <f aca="false">N(base!O174)</f>
        <v>0.75</v>
      </c>
      <c r="G174" s="4" t="n">
        <f aca="false">SUM(base!U174:AF174)+N(base!AK174)</f>
        <v>3</v>
      </c>
      <c r="H174" s="14" t="n">
        <f aca="false">N(base!S174)</f>
        <v>12</v>
      </c>
      <c r="I174" s="6" t="n">
        <f aca="false">IFERROR(G174/H174,0)</f>
        <v>0.25</v>
      </c>
      <c r="J174" s="4" t="n">
        <f aca="false">SUM(base!AG174:AJ174)</f>
        <v>6</v>
      </c>
      <c r="K174" s="5" t="n">
        <f aca="false">IFERROR((base!AG174+base!AH174)/(base!K174+base!L174),0)</f>
        <v>2.5</v>
      </c>
      <c r="L174" s="5" t="n">
        <f aca="false">MAX(N(base!AI174),K174*N(base!M174))</f>
        <v>2.5</v>
      </c>
      <c r="M174" s="5" t="n">
        <f aca="false">MAX(N(base!AJ174),K174*N(base!N174))</f>
        <v>0</v>
      </c>
      <c r="N174" s="5" t="n">
        <f aca="false">base!AG174+base!AH174+L174+M174</f>
        <v>7.5</v>
      </c>
      <c r="O174" s="14" t="n">
        <f aca="false">N(base!T174)</f>
        <v>4</v>
      </c>
      <c r="P174" s="6" t="n">
        <f aca="false">IFERROR(J174/O174,0)</f>
        <v>1.5</v>
      </c>
      <c r="Q174" s="6" t="n">
        <f aca="false">IFERROR(N174/O174,0)</f>
        <v>1.875</v>
      </c>
      <c r="R174" s="6" t="n">
        <f aca="false">Parametros!$B$3*I174+Parametros!$B$4*P174</f>
        <v>0.625</v>
      </c>
      <c r="S174" s="6" t="n">
        <f aca="false">Parametros!$B$3*I174+Parametros!$B$4*Q174</f>
        <v>0.7375</v>
      </c>
      <c r="T174" s="4" t="str">
        <f aca="false">IF(S174&lt;tablas!$C$3,"No activa",INDEX(tablas!$B$3:$B$8,MATCH(S174,tablas!$C$3:$C$8,1)))</f>
        <v>No activa</v>
      </c>
      <c r="U174" s="15" t="n">
        <f aca="false">IF(S174&lt;tablas!$C$3,0,INDEX(tablas!$D$3:$D$8,MATCH(S174,tablas!$C$3:$C$8,1)))</f>
        <v>0</v>
      </c>
      <c r="V174" s="16" t="n">
        <f aca="false">N(base!AQ174)</f>
        <v>900</v>
      </c>
      <c r="W174" s="7" t="n">
        <f aca="false">U174*V174</f>
        <v>0</v>
      </c>
      <c r="X174" s="4" t="str">
        <f aca="false">IF(R174&lt;tablas!$C$3,"No activa",INDEX(tablas!$B$3:$B$8,MATCH(R174,tablas!$C$3:$C$8,1)))</f>
        <v>No activa</v>
      </c>
      <c r="Y174" s="7" t="n">
        <f aca="false">IF(R174&lt;tablas!$C$3,0,INDEX(tablas!$D$3:$D$8,MATCH(R174,tablas!$C$3:$C$8,1)))*V174</f>
        <v>0</v>
      </c>
      <c r="Z174" s="4" t="str">
        <f aca="false">IF(S174&gt;=tablas!$C$3,"Activa",IF(S174&gt;=Parametros!$B$5,"Cerca","No activa"))</f>
        <v>Cerca</v>
      </c>
      <c r="AA174" s="6" t="n">
        <f aca="false">MAX(0,tablas!$C$3-S174)</f>
        <v>0.0625</v>
      </c>
    </row>
    <row r="175" customFormat="false" ht="15" hidden="false" customHeight="false" outlineLevel="0" collapsed="false">
      <c r="A175" s="14" t="str">
        <f aca="false">base!A175</f>
        <v>47309641-8</v>
      </c>
      <c r="B175" s="14" t="str">
        <f aca="false">base!E175</f>
        <v>Inbound Regular</v>
      </c>
      <c r="C175" s="14" t="str">
        <f aca="false">base!D175</f>
        <v>Inbound</v>
      </c>
      <c r="D175" s="14" t="str">
        <f aca="false">base!F175</f>
        <v>SAMANTHA ALIAGA ZURITA</v>
      </c>
      <c r="E175" s="14" t="str">
        <f aca="false">base!G175</f>
        <v>JHIMY TAFUR CHAVEZ</v>
      </c>
      <c r="F175" s="14" t="n">
        <f aca="false">N(base!O175)</f>
        <v>1</v>
      </c>
      <c r="G175" s="4" t="n">
        <f aca="false">SUM(base!U175:AF175)+N(base!AK175)</f>
        <v>4</v>
      </c>
      <c r="H175" s="14" t="n">
        <f aca="false">N(base!S175)</f>
        <v>10</v>
      </c>
      <c r="I175" s="6" t="n">
        <f aca="false">IFERROR(G175/H175,0)</f>
        <v>0.4</v>
      </c>
      <c r="J175" s="4" t="n">
        <f aca="false">SUM(base!AG175:AJ175)</f>
        <v>2</v>
      </c>
      <c r="K175" s="5" t="n">
        <f aca="false">IFERROR((base!AG175+base!AH175)/(base!K175+base!L175),0)</f>
        <v>1</v>
      </c>
      <c r="L175" s="5" t="n">
        <f aca="false">MAX(N(base!AI175),K175*N(base!M175))</f>
        <v>1</v>
      </c>
      <c r="M175" s="5" t="n">
        <f aca="false">MAX(N(base!AJ175),K175*N(base!N175))</f>
        <v>1</v>
      </c>
      <c r="N175" s="5" t="n">
        <f aca="false">base!AG175+base!AH175+L175+M175</f>
        <v>4</v>
      </c>
      <c r="O175" s="14" t="n">
        <f aca="false">N(base!T175)</f>
        <v>4</v>
      </c>
      <c r="P175" s="6" t="n">
        <f aca="false">IFERROR(J175/O175,0)</f>
        <v>0.5</v>
      </c>
      <c r="Q175" s="6" t="n">
        <f aca="false">IFERROR(N175/O175,0)</f>
        <v>1</v>
      </c>
      <c r="R175" s="6" t="n">
        <f aca="false">Parametros!$B$3*I175+Parametros!$B$4*P175</f>
        <v>0.43</v>
      </c>
      <c r="S175" s="6" t="n">
        <f aca="false">Parametros!$B$3*I175+Parametros!$B$4*Q175</f>
        <v>0.58</v>
      </c>
      <c r="T175" s="4" t="str">
        <f aca="false">IF(S175&lt;tablas!$C$3,"No activa",INDEX(tablas!$B$3:$B$8,MATCH(S175,tablas!$C$3:$C$8,1)))</f>
        <v>No activa</v>
      </c>
      <c r="U175" s="15" t="n">
        <f aca="false">IF(S175&lt;tablas!$C$3,0,INDEX(tablas!$D$3:$D$8,MATCH(S175,tablas!$C$3:$C$8,1)))</f>
        <v>0</v>
      </c>
      <c r="V175" s="16" t="n">
        <f aca="false">N(base!AQ175)</f>
        <v>1200</v>
      </c>
      <c r="W175" s="7" t="n">
        <f aca="false">U175*V175</f>
        <v>0</v>
      </c>
      <c r="X175" s="4" t="str">
        <f aca="false">IF(R175&lt;tablas!$C$3,"No activa",INDEX(tablas!$B$3:$B$8,MATCH(R175,tablas!$C$3:$C$8,1)))</f>
        <v>No activa</v>
      </c>
      <c r="Y175" s="7" t="n">
        <f aca="false">IF(R175&lt;tablas!$C$3,0,INDEX(tablas!$D$3:$D$8,MATCH(R175,tablas!$C$3:$C$8,1)))*V175</f>
        <v>0</v>
      </c>
      <c r="Z175" s="4" t="str">
        <f aca="false">IF(S175&gt;=tablas!$C$3,"Activa",IF(S175&gt;=Parametros!$B$5,"Cerca","No activa"))</f>
        <v>No activa</v>
      </c>
      <c r="AA175" s="6" t="n">
        <f aca="false">MAX(0,tablas!$C$3-S175)</f>
        <v>0.22</v>
      </c>
    </row>
    <row r="176" customFormat="false" ht="15" hidden="false" customHeight="false" outlineLevel="0" collapsed="false">
      <c r="A176" s="14" t="str">
        <f aca="false">base!A176</f>
        <v>61866020-1</v>
      </c>
      <c r="B176" s="14" t="str">
        <f aca="false">base!E176</f>
        <v>Inbound Regular</v>
      </c>
      <c r="C176" s="14" t="str">
        <f aca="false">base!D176</f>
        <v>Inbound</v>
      </c>
      <c r="D176" s="14" t="str">
        <f aca="false">base!F176</f>
        <v>SAMANTHA ALIAGA ZURITA</v>
      </c>
      <c r="E176" s="14" t="str">
        <f aca="false">base!G176</f>
        <v>JHIMY TAFUR CHAVEZ</v>
      </c>
      <c r="F176" s="14" t="n">
        <f aca="false">N(base!O176)</f>
        <v>1</v>
      </c>
      <c r="G176" s="4" t="n">
        <f aca="false">SUM(base!U176:AF176)+N(base!AK176)</f>
        <v>3</v>
      </c>
      <c r="H176" s="14" t="n">
        <f aca="false">N(base!S176)</f>
        <v>10</v>
      </c>
      <c r="I176" s="6" t="n">
        <f aca="false">IFERROR(G176/H176,0)</f>
        <v>0.3</v>
      </c>
      <c r="J176" s="4" t="n">
        <f aca="false">SUM(base!AG176:AJ176)</f>
        <v>1</v>
      </c>
      <c r="K176" s="5" t="n">
        <f aca="false">IFERROR((base!AG176+base!AH176)/(base!K176+base!L176),0)</f>
        <v>0.5</v>
      </c>
      <c r="L176" s="5" t="n">
        <f aca="false">MAX(N(base!AI176),K176*N(base!M176))</f>
        <v>0.5</v>
      </c>
      <c r="M176" s="5" t="n">
        <f aca="false">MAX(N(base!AJ176),K176*N(base!N176))</f>
        <v>0.5</v>
      </c>
      <c r="N176" s="5" t="n">
        <f aca="false">base!AG176+base!AH176+L176+M176</f>
        <v>2</v>
      </c>
      <c r="O176" s="14" t="n">
        <f aca="false">N(base!T176)</f>
        <v>4</v>
      </c>
      <c r="P176" s="6" t="n">
        <f aca="false">IFERROR(J176/O176,0)</f>
        <v>0.25</v>
      </c>
      <c r="Q176" s="6" t="n">
        <f aca="false">IFERROR(N176/O176,0)</f>
        <v>0.5</v>
      </c>
      <c r="R176" s="6" t="n">
        <f aca="false">Parametros!$B$3*I176+Parametros!$B$4*P176</f>
        <v>0.285</v>
      </c>
      <c r="S176" s="6" t="n">
        <f aca="false">Parametros!$B$3*I176+Parametros!$B$4*Q176</f>
        <v>0.36</v>
      </c>
      <c r="T176" s="4" t="str">
        <f aca="false">IF(S176&lt;tablas!$C$3,"No activa",INDEX(tablas!$B$3:$B$8,MATCH(S176,tablas!$C$3:$C$8,1)))</f>
        <v>No activa</v>
      </c>
      <c r="U176" s="15" t="n">
        <f aca="false">IF(S176&lt;tablas!$C$3,0,INDEX(tablas!$D$3:$D$8,MATCH(S176,tablas!$C$3:$C$8,1)))</f>
        <v>0</v>
      </c>
      <c r="V176" s="16" t="n">
        <f aca="false">N(base!AQ176)</f>
        <v>1200</v>
      </c>
      <c r="W176" s="7" t="n">
        <f aca="false">U176*V176</f>
        <v>0</v>
      </c>
      <c r="X176" s="4" t="str">
        <f aca="false">IF(R176&lt;tablas!$C$3,"No activa",INDEX(tablas!$B$3:$B$8,MATCH(R176,tablas!$C$3:$C$8,1)))</f>
        <v>No activa</v>
      </c>
      <c r="Y176" s="7" t="n">
        <f aca="false">IF(R176&lt;tablas!$C$3,0,INDEX(tablas!$D$3:$D$8,MATCH(R176,tablas!$C$3:$C$8,1)))*V176</f>
        <v>0</v>
      </c>
      <c r="Z176" s="4" t="str">
        <f aca="false">IF(S176&gt;=tablas!$C$3,"Activa",IF(S176&gt;=Parametros!$B$5,"Cerca","No activa"))</f>
        <v>No activa</v>
      </c>
      <c r="AA176" s="6" t="n">
        <f aca="false">MAX(0,tablas!$C$3-S176)</f>
        <v>0.44</v>
      </c>
    </row>
    <row r="177" customFormat="false" ht="15" hidden="false" customHeight="false" outlineLevel="0" collapsed="false">
      <c r="A177" s="14" t="str">
        <f aca="false">base!A177</f>
        <v>76958319-5</v>
      </c>
      <c r="B177" s="14" t="str">
        <f aca="false">base!E177</f>
        <v>Inbound Regular</v>
      </c>
      <c r="C177" s="14" t="str">
        <f aca="false">base!D177</f>
        <v>Inbound</v>
      </c>
      <c r="D177" s="14" t="str">
        <f aca="false">base!F177</f>
        <v>SAMANTHA ALIAGA ZURITA</v>
      </c>
      <c r="E177" s="14" t="str">
        <f aca="false">base!G177</f>
        <v>JHIMY TAFUR CHAVEZ</v>
      </c>
      <c r="F177" s="14" t="n">
        <f aca="false">N(base!O177)</f>
        <v>1</v>
      </c>
      <c r="G177" s="4" t="n">
        <f aca="false">SUM(base!U177:AF177)+N(base!AK177)</f>
        <v>3</v>
      </c>
      <c r="H177" s="14" t="n">
        <f aca="false">N(base!S177)</f>
        <v>10</v>
      </c>
      <c r="I177" s="6" t="n">
        <f aca="false">IFERROR(G177/H177,0)</f>
        <v>0.3</v>
      </c>
      <c r="J177" s="4" t="n">
        <f aca="false">SUM(base!AG177:AJ177)</f>
        <v>3</v>
      </c>
      <c r="K177" s="5" t="n">
        <f aca="false">IFERROR((base!AG177+base!AH177)/(base!K177+base!L177),0)</f>
        <v>0</v>
      </c>
      <c r="L177" s="5" t="n">
        <f aca="false">MAX(N(base!AI177),K177*N(base!M177))</f>
        <v>3</v>
      </c>
      <c r="M177" s="5" t="n">
        <f aca="false">MAX(N(base!AJ177),K177*N(base!N177))</f>
        <v>0</v>
      </c>
      <c r="N177" s="5" t="n">
        <f aca="false">base!AG177+base!AH177+L177+M177</f>
        <v>3</v>
      </c>
      <c r="O177" s="14" t="n">
        <f aca="false">N(base!T177)</f>
        <v>4</v>
      </c>
      <c r="P177" s="6" t="n">
        <f aca="false">IFERROR(J177/O177,0)</f>
        <v>0.75</v>
      </c>
      <c r="Q177" s="6" t="n">
        <f aca="false">IFERROR(N177/O177,0)</f>
        <v>0.75</v>
      </c>
      <c r="R177" s="6" t="n">
        <f aca="false">Parametros!$B$3*I177+Parametros!$B$4*P177</f>
        <v>0.435</v>
      </c>
      <c r="S177" s="6" t="n">
        <f aca="false">Parametros!$B$3*I177+Parametros!$B$4*Q177</f>
        <v>0.435</v>
      </c>
      <c r="T177" s="4" t="str">
        <f aca="false">IF(S177&lt;tablas!$C$3,"No activa",INDEX(tablas!$B$3:$B$8,MATCH(S177,tablas!$C$3:$C$8,1)))</f>
        <v>No activa</v>
      </c>
      <c r="U177" s="15" t="n">
        <f aca="false">IF(S177&lt;tablas!$C$3,0,INDEX(tablas!$D$3:$D$8,MATCH(S177,tablas!$C$3:$C$8,1)))</f>
        <v>0</v>
      </c>
      <c r="V177" s="16" t="n">
        <f aca="false">N(base!AQ177)</f>
        <v>1200</v>
      </c>
      <c r="W177" s="7" t="n">
        <f aca="false">U177*V177</f>
        <v>0</v>
      </c>
      <c r="X177" s="4" t="str">
        <f aca="false">IF(R177&lt;tablas!$C$3,"No activa",INDEX(tablas!$B$3:$B$8,MATCH(R177,tablas!$C$3:$C$8,1)))</f>
        <v>No activa</v>
      </c>
      <c r="Y177" s="7" t="n">
        <f aca="false">IF(R177&lt;tablas!$C$3,0,INDEX(tablas!$D$3:$D$8,MATCH(R177,tablas!$C$3:$C$8,1)))*V177</f>
        <v>0</v>
      </c>
      <c r="Z177" s="4" t="str">
        <f aca="false">IF(S177&gt;=tablas!$C$3,"Activa",IF(S177&gt;=Parametros!$B$5,"Cerca","No activa"))</f>
        <v>No activa</v>
      </c>
      <c r="AA177" s="6" t="n">
        <f aca="false">MAX(0,tablas!$C$3-S177)</f>
        <v>0.365</v>
      </c>
    </row>
    <row r="178" customFormat="false" ht="15" hidden="false" customHeight="false" outlineLevel="0" collapsed="false">
      <c r="A178" s="14" t="str">
        <f aca="false">base!A178</f>
        <v>47839802-1</v>
      </c>
      <c r="B178" s="14" t="str">
        <f aca="false">base!E178</f>
        <v>Inbound Regular</v>
      </c>
      <c r="C178" s="14" t="str">
        <f aca="false">base!D178</f>
        <v>Inbound</v>
      </c>
      <c r="D178" s="14" t="str">
        <f aca="false">base!F178</f>
        <v>SAMANTHA ALIAGA ZURITA</v>
      </c>
      <c r="E178" s="14" t="str">
        <f aca="false">base!G178</f>
        <v>JHIMY TAFUR CHAVEZ</v>
      </c>
      <c r="F178" s="14" t="n">
        <f aca="false">N(base!O178)</f>
        <v>1</v>
      </c>
      <c r="G178" s="4" t="n">
        <f aca="false">SUM(base!U178:AF178)+N(base!AK178)</f>
        <v>0</v>
      </c>
      <c r="H178" s="14" t="n">
        <f aca="false">N(base!S178)</f>
        <v>10</v>
      </c>
      <c r="I178" s="6" t="n">
        <f aca="false">IFERROR(G178/H178,0)</f>
        <v>0</v>
      </c>
      <c r="J178" s="4" t="n">
        <f aca="false">SUM(base!AG178:AJ178)</f>
        <v>2</v>
      </c>
      <c r="K178" s="5" t="n">
        <f aca="false">IFERROR((base!AG178+base!AH178)/(base!K178+base!L178),0)</f>
        <v>0.5</v>
      </c>
      <c r="L178" s="5" t="n">
        <f aca="false">MAX(N(base!AI178),K178*N(base!M178))</f>
        <v>1</v>
      </c>
      <c r="M178" s="5" t="n">
        <f aca="false">MAX(N(base!AJ178),K178*N(base!N178))</f>
        <v>0.5</v>
      </c>
      <c r="N178" s="5" t="n">
        <f aca="false">base!AG178+base!AH178+L178+M178</f>
        <v>2.5</v>
      </c>
      <c r="O178" s="14" t="n">
        <f aca="false">N(base!T178)</f>
        <v>4</v>
      </c>
      <c r="P178" s="6" t="n">
        <f aca="false">IFERROR(J178/O178,0)</f>
        <v>0.5</v>
      </c>
      <c r="Q178" s="6" t="n">
        <f aca="false">IFERROR(N178/O178,0)</f>
        <v>0.625</v>
      </c>
      <c r="R178" s="6" t="n">
        <f aca="false">Parametros!$B$3*I178+Parametros!$B$4*P178</f>
        <v>0.15</v>
      </c>
      <c r="S178" s="6" t="n">
        <f aca="false">Parametros!$B$3*I178+Parametros!$B$4*Q178</f>
        <v>0.1875</v>
      </c>
      <c r="T178" s="4" t="str">
        <f aca="false">IF(S178&lt;tablas!$C$3,"No activa",INDEX(tablas!$B$3:$B$8,MATCH(S178,tablas!$C$3:$C$8,1)))</f>
        <v>No activa</v>
      </c>
      <c r="U178" s="15" t="n">
        <f aca="false">IF(S178&lt;tablas!$C$3,0,INDEX(tablas!$D$3:$D$8,MATCH(S178,tablas!$C$3:$C$8,1)))</f>
        <v>0</v>
      </c>
      <c r="V178" s="16" t="n">
        <f aca="false">N(base!AQ178)</f>
        <v>1200</v>
      </c>
      <c r="W178" s="7" t="n">
        <f aca="false">U178*V178</f>
        <v>0</v>
      </c>
      <c r="X178" s="4" t="str">
        <f aca="false">IF(R178&lt;tablas!$C$3,"No activa",INDEX(tablas!$B$3:$B$8,MATCH(R178,tablas!$C$3:$C$8,1)))</f>
        <v>No activa</v>
      </c>
      <c r="Y178" s="7" t="n">
        <f aca="false">IF(R178&lt;tablas!$C$3,0,INDEX(tablas!$D$3:$D$8,MATCH(R178,tablas!$C$3:$C$8,1)))*V178</f>
        <v>0</v>
      </c>
      <c r="Z178" s="4" t="str">
        <f aca="false">IF(S178&gt;=tablas!$C$3,"Activa",IF(S178&gt;=Parametros!$B$5,"Cerca","No activa"))</f>
        <v>No activa</v>
      </c>
      <c r="AA178" s="6" t="n">
        <f aca="false">MAX(0,tablas!$C$3-S178)</f>
        <v>0.6125</v>
      </c>
    </row>
    <row r="179" customFormat="false" ht="15" hidden="false" customHeight="false" outlineLevel="0" collapsed="false">
      <c r="A179" s="14" t="str">
        <f aca="false">base!A179</f>
        <v>74653422-7</v>
      </c>
      <c r="B179" s="14" t="str">
        <f aca="false">base!E179</f>
        <v>Inbound Regular</v>
      </c>
      <c r="C179" s="14" t="str">
        <f aca="false">base!D179</f>
        <v>Inbound</v>
      </c>
      <c r="D179" s="14" t="str">
        <f aca="false">base!F179</f>
        <v>SAMANTHA ALIAGA ZURITA</v>
      </c>
      <c r="E179" s="14" t="str">
        <f aca="false">base!G179</f>
        <v>JHIMY TAFUR CHAVEZ</v>
      </c>
      <c r="F179" s="14" t="n">
        <f aca="false">N(base!O179)</f>
        <v>0.5</v>
      </c>
      <c r="G179" s="4" t="n">
        <f aca="false">SUM(base!U179:AF179)+N(base!AK179)</f>
        <v>0</v>
      </c>
      <c r="H179" s="14" t="n">
        <f aca="false">N(base!S179)</f>
        <v>5</v>
      </c>
      <c r="I179" s="6" t="n">
        <f aca="false">IFERROR(G179/H179,0)</f>
        <v>0</v>
      </c>
      <c r="J179" s="4" t="n">
        <f aca="false">SUM(base!AG179:AJ179)</f>
        <v>1</v>
      </c>
      <c r="K179" s="5" t="n">
        <f aca="false">IFERROR((base!AG179+base!AH179)/(base!K179+base!L179),0)</f>
        <v>0.5</v>
      </c>
      <c r="L179" s="5" t="n">
        <f aca="false">MAX(N(base!AI179),K179*N(base!M179))</f>
        <v>0</v>
      </c>
      <c r="M179" s="5" t="n">
        <f aca="false">MAX(N(base!AJ179),K179*N(base!N179))</f>
        <v>0</v>
      </c>
      <c r="N179" s="5" t="n">
        <f aca="false">base!AG179+base!AH179+L179+M179</f>
        <v>1</v>
      </c>
      <c r="O179" s="14" t="n">
        <f aca="false">N(base!T179)</f>
        <v>3</v>
      </c>
      <c r="P179" s="6" t="n">
        <f aca="false">IFERROR(J179/O179,0)</f>
        <v>0.333333333333333</v>
      </c>
      <c r="Q179" s="6" t="n">
        <f aca="false">IFERROR(N179/O179,0)</f>
        <v>0.333333333333333</v>
      </c>
      <c r="R179" s="6" t="n">
        <f aca="false">Parametros!$B$3*I179+Parametros!$B$4*P179</f>
        <v>0.1</v>
      </c>
      <c r="S179" s="6" t="n">
        <f aca="false">Parametros!$B$3*I179+Parametros!$B$4*Q179</f>
        <v>0.1</v>
      </c>
      <c r="T179" s="4" t="str">
        <f aca="false">IF(S179&lt;tablas!$C$3,"No activa",INDEX(tablas!$B$3:$B$8,MATCH(S179,tablas!$C$3:$C$8,1)))</f>
        <v>No activa</v>
      </c>
      <c r="U179" s="15" t="n">
        <f aca="false">IF(S179&lt;tablas!$C$3,0,INDEX(tablas!$D$3:$D$8,MATCH(S179,tablas!$C$3:$C$8,1)))</f>
        <v>0</v>
      </c>
      <c r="V179" s="16" t="n">
        <f aca="false">N(base!AQ179)</f>
        <v>600</v>
      </c>
      <c r="W179" s="7" t="n">
        <f aca="false">U179*V179</f>
        <v>0</v>
      </c>
      <c r="X179" s="4" t="str">
        <f aca="false">IF(R179&lt;tablas!$C$3,"No activa",INDEX(tablas!$B$3:$B$8,MATCH(R179,tablas!$C$3:$C$8,1)))</f>
        <v>No activa</v>
      </c>
      <c r="Y179" s="7" t="n">
        <f aca="false">IF(R179&lt;tablas!$C$3,0,INDEX(tablas!$D$3:$D$8,MATCH(R179,tablas!$C$3:$C$8,1)))*V179</f>
        <v>0</v>
      </c>
      <c r="Z179" s="4" t="str">
        <f aca="false">IF(S179&gt;=tablas!$C$3,"Activa",IF(S179&gt;=Parametros!$B$5,"Cerca","No activa"))</f>
        <v>No activa</v>
      </c>
      <c r="AA179" s="6" t="n">
        <f aca="false">MAX(0,tablas!$C$3-S179)</f>
        <v>0.7</v>
      </c>
    </row>
    <row r="180" customFormat="false" ht="15" hidden="false" customHeight="false" outlineLevel="0" collapsed="false">
      <c r="A180" s="14" t="str">
        <f aca="false">base!A180</f>
        <v>71818874-7</v>
      </c>
      <c r="B180" s="14" t="str">
        <f aca="false">base!E180</f>
        <v>Counter</v>
      </c>
      <c r="C180" s="14" t="str">
        <f aca="false">base!D180</f>
        <v>Counter</v>
      </c>
      <c r="D180" s="14" t="str">
        <f aca="false">base!F180</f>
        <v>ZULLY MARIN TELLO</v>
      </c>
      <c r="E180" s="14" t="str">
        <f aca="false">base!G180</f>
        <v>JHIMY TAFUR CHAVEZ</v>
      </c>
      <c r="F180" s="14" t="n">
        <f aca="false">N(base!O180)</f>
        <v>0.5</v>
      </c>
      <c r="G180" s="4" t="n">
        <f aca="false">SUM(base!U180:AF180)+N(base!AK180)</f>
        <v>16</v>
      </c>
      <c r="H180" s="14" t="n">
        <f aca="false">N(base!S180)</f>
        <v>11</v>
      </c>
      <c r="I180" s="6" t="n">
        <f aca="false">IFERROR(G180/H180,0)</f>
        <v>1.45454545454545</v>
      </c>
      <c r="J180" s="4" t="n">
        <f aca="false">SUM(base!AG180:AJ180)</f>
        <v>2</v>
      </c>
      <c r="K180" s="5" t="n">
        <f aca="false">IFERROR((base!AG180+base!AH180)/(base!K180+base!L180),0)</f>
        <v>1</v>
      </c>
      <c r="L180" s="5" t="n">
        <f aca="false">MAX(N(base!AI180),K180*N(base!M180))</f>
        <v>0</v>
      </c>
      <c r="M180" s="5" t="n">
        <f aca="false">MAX(N(base!AJ180),K180*N(base!N180))</f>
        <v>0</v>
      </c>
      <c r="N180" s="5" t="n">
        <f aca="false">base!AG180+base!AH180+L180+M180</f>
        <v>2</v>
      </c>
      <c r="O180" s="14" t="n">
        <f aca="false">N(base!T180)</f>
        <v>5</v>
      </c>
      <c r="P180" s="6" t="n">
        <f aca="false">IFERROR(J180/O180,0)</f>
        <v>0.4</v>
      </c>
      <c r="Q180" s="6" t="n">
        <f aca="false">IFERROR(N180/O180,0)</f>
        <v>0.4</v>
      </c>
      <c r="R180" s="6" t="n">
        <f aca="false">Parametros!$B$3*I180+Parametros!$B$4*P180</f>
        <v>1.13818181818182</v>
      </c>
      <c r="S180" s="6" t="n">
        <f aca="false">Parametros!$B$3*I180+Parametros!$B$4*Q180</f>
        <v>1.13818181818182</v>
      </c>
      <c r="T180" s="4" t="str">
        <f aca="false">IF(S180&lt;tablas!$C$3,"No activa",INDEX(tablas!$B$3:$B$8,MATCH(S180,tablas!$C$3:$C$8,1)))</f>
        <v>N4</v>
      </c>
      <c r="U180" s="15" t="n">
        <f aca="false">IF(S180&lt;tablas!$C$3,0,INDEX(tablas!$D$3:$D$8,MATCH(S180,tablas!$C$3:$C$8,1)))</f>
        <v>1.3</v>
      </c>
      <c r="V180" s="16" t="n">
        <f aca="false">N(base!AQ180)</f>
        <v>600</v>
      </c>
      <c r="W180" s="7" t="n">
        <f aca="false">U180*V180</f>
        <v>780</v>
      </c>
      <c r="X180" s="4" t="str">
        <f aca="false">IF(R180&lt;tablas!$C$3,"No activa",INDEX(tablas!$B$3:$B$8,MATCH(R180,tablas!$C$3:$C$8,1)))</f>
        <v>N4</v>
      </c>
      <c r="Y180" s="7" t="n">
        <f aca="false">IF(R180&lt;tablas!$C$3,0,INDEX(tablas!$D$3:$D$8,MATCH(R180,tablas!$C$3:$C$8,1)))*V180</f>
        <v>780</v>
      </c>
      <c r="Z180" s="4" t="str">
        <f aca="false">IF(S180&gt;=tablas!$C$3,"Activa",IF(S180&gt;=Parametros!$B$5,"Cerca","No activa"))</f>
        <v>Activa</v>
      </c>
      <c r="AA180" s="6" t="n">
        <f aca="false">MAX(0,tablas!$C$3-S180)</f>
        <v>0</v>
      </c>
    </row>
    <row r="181" customFormat="false" ht="15" hidden="false" customHeight="false" outlineLevel="0" collapsed="false">
      <c r="A181" s="14" t="str">
        <f aca="false">base!A181</f>
        <v>72696904-9</v>
      </c>
      <c r="B181" s="14" t="str">
        <f aca="false">base!E181</f>
        <v>Counter</v>
      </c>
      <c r="C181" s="14" t="str">
        <f aca="false">base!D181</f>
        <v>Counter</v>
      </c>
      <c r="D181" s="14" t="str">
        <f aca="false">base!F181</f>
        <v>ZULLY MARIN TELLO</v>
      </c>
      <c r="E181" s="14" t="str">
        <f aca="false">base!G181</f>
        <v>JHIMY TAFUR CHAVEZ</v>
      </c>
      <c r="F181" s="14" t="n">
        <f aca="false">N(base!O181)</f>
        <v>1</v>
      </c>
      <c r="G181" s="4" t="n">
        <f aca="false">SUM(base!U181:AF181)+N(base!AK181)</f>
        <v>42</v>
      </c>
      <c r="H181" s="14" t="n">
        <f aca="false">N(base!S181)</f>
        <v>22</v>
      </c>
      <c r="I181" s="6" t="n">
        <f aca="false">IFERROR(G181/H181,0)</f>
        <v>1.90909090909091</v>
      </c>
      <c r="J181" s="4" t="n">
        <f aca="false">SUM(base!AG181:AJ181)</f>
        <v>1</v>
      </c>
      <c r="K181" s="5" t="n">
        <f aca="false">IFERROR((base!AG181+base!AH181)/(base!K181+base!L181),0)</f>
        <v>0.5</v>
      </c>
      <c r="L181" s="5" t="n">
        <f aca="false">MAX(N(base!AI181),K181*N(base!M181))</f>
        <v>0.5</v>
      </c>
      <c r="M181" s="5" t="n">
        <f aca="false">MAX(N(base!AJ181),K181*N(base!N181))</f>
        <v>0.5</v>
      </c>
      <c r="N181" s="5" t="n">
        <f aca="false">base!AG181+base!AH181+L181+M181</f>
        <v>2</v>
      </c>
      <c r="O181" s="14" t="n">
        <f aca="false">N(base!T181)</f>
        <v>9</v>
      </c>
      <c r="P181" s="6" t="n">
        <f aca="false">IFERROR(J181/O181,0)</f>
        <v>0.111111111111111</v>
      </c>
      <c r="Q181" s="6" t="n">
        <f aca="false">IFERROR(N181/O181,0)</f>
        <v>0.222222222222222</v>
      </c>
      <c r="R181" s="6" t="n">
        <f aca="false">Parametros!$B$3*I181+Parametros!$B$4*P181</f>
        <v>1.36969696969697</v>
      </c>
      <c r="S181" s="6" t="n">
        <f aca="false">Parametros!$B$3*I181+Parametros!$B$4*Q181</f>
        <v>1.4030303030303</v>
      </c>
      <c r="T181" s="4" t="str">
        <f aca="false">IF(S181&lt;tablas!$C$3,"No activa",INDEX(tablas!$B$3:$B$8,MATCH(S181,tablas!$C$3:$C$8,1)))</f>
        <v>N6</v>
      </c>
      <c r="U181" s="15" t="n">
        <f aca="false">IF(S181&lt;tablas!$C$3,0,INDEX(tablas!$D$3:$D$8,MATCH(S181,tablas!$C$3:$C$8,1)))</f>
        <v>2</v>
      </c>
      <c r="V181" s="16" t="n">
        <f aca="false">N(base!AQ181)</f>
        <v>1200</v>
      </c>
      <c r="W181" s="7" t="n">
        <f aca="false">U181*V181</f>
        <v>2400</v>
      </c>
      <c r="X181" s="4" t="str">
        <f aca="false">IF(R181&lt;tablas!$C$3,"No activa",INDEX(tablas!$B$3:$B$8,MATCH(R181,tablas!$C$3:$C$8,1)))</f>
        <v>N6</v>
      </c>
      <c r="Y181" s="7" t="n">
        <f aca="false">IF(R181&lt;tablas!$C$3,0,INDEX(tablas!$D$3:$D$8,MATCH(R181,tablas!$C$3:$C$8,1)))*V181</f>
        <v>2400</v>
      </c>
      <c r="Z181" s="4" t="str">
        <f aca="false">IF(S181&gt;=tablas!$C$3,"Activa",IF(S181&gt;=Parametros!$B$5,"Cerca","No activa"))</f>
        <v>Activa</v>
      </c>
      <c r="AA181" s="6" t="n">
        <f aca="false">MAX(0,tablas!$C$3-S181)</f>
        <v>0</v>
      </c>
    </row>
    <row r="182" customFormat="false" ht="15" hidden="false" customHeight="false" outlineLevel="0" collapsed="false">
      <c r="A182" s="14" t="str">
        <f aca="false">base!A182</f>
        <v>72215938-7</v>
      </c>
      <c r="B182" s="14" t="str">
        <f aca="false">base!E182</f>
        <v>Counter</v>
      </c>
      <c r="C182" s="14" t="str">
        <f aca="false">base!D182</f>
        <v>Counter</v>
      </c>
      <c r="D182" s="14" t="str">
        <f aca="false">base!F182</f>
        <v>ZULLY MARIN TELLO</v>
      </c>
      <c r="E182" s="14" t="str">
        <f aca="false">base!G182</f>
        <v>JHIMY TAFUR CHAVEZ</v>
      </c>
      <c r="F182" s="14" t="n">
        <f aca="false">N(base!O182)</f>
        <v>1</v>
      </c>
      <c r="G182" s="4" t="n">
        <f aca="false">SUM(base!U182:AF182)+N(base!AK182)</f>
        <v>47</v>
      </c>
      <c r="H182" s="14" t="n">
        <f aca="false">N(base!S182)</f>
        <v>22</v>
      </c>
      <c r="I182" s="6" t="n">
        <f aca="false">IFERROR(G182/H182,0)</f>
        <v>2.13636363636364</v>
      </c>
      <c r="J182" s="4" t="n">
        <f aca="false">SUM(base!AG182:AJ182)</f>
        <v>2</v>
      </c>
      <c r="K182" s="5" t="n">
        <f aca="false">IFERROR((base!AG182+base!AH182)/(base!K182+base!L182),0)</f>
        <v>1</v>
      </c>
      <c r="L182" s="5" t="n">
        <f aca="false">MAX(N(base!AI182),K182*N(base!M182))</f>
        <v>1</v>
      </c>
      <c r="M182" s="5" t="n">
        <f aca="false">MAX(N(base!AJ182),K182*N(base!N182))</f>
        <v>1</v>
      </c>
      <c r="N182" s="5" t="n">
        <f aca="false">base!AG182+base!AH182+L182+M182</f>
        <v>4</v>
      </c>
      <c r="O182" s="14" t="n">
        <f aca="false">N(base!T182)</f>
        <v>6</v>
      </c>
      <c r="P182" s="6" t="n">
        <f aca="false">IFERROR(J182/O182,0)</f>
        <v>0.333333333333333</v>
      </c>
      <c r="Q182" s="6" t="n">
        <f aca="false">IFERROR(N182/O182,0)</f>
        <v>0.666666666666667</v>
      </c>
      <c r="R182" s="6" t="n">
        <f aca="false">Parametros!$B$3*I182+Parametros!$B$4*P182</f>
        <v>1.59545454545455</v>
      </c>
      <c r="S182" s="6" t="n">
        <f aca="false">Parametros!$B$3*I182+Parametros!$B$4*Q182</f>
        <v>1.69545454545455</v>
      </c>
      <c r="T182" s="4" t="str">
        <f aca="false">IF(S182&lt;tablas!$C$3,"No activa",INDEX(tablas!$B$3:$B$8,MATCH(S182,tablas!$C$3:$C$8,1)))</f>
        <v>N6</v>
      </c>
      <c r="U182" s="15" t="n">
        <f aca="false">IF(S182&lt;tablas!$C$3,0,INDEX(tablas!$D$3:$D$8,MATCH(S182,tablas!$C$3:$C$8,1)))</f>
        <v>2</v>
      </c>
      <c r="V182" s="16" t="n">
        <f aca="false">N(base!AQ182)</f>
        <v>1800</v>
      </c>
      <c r="W182" s="7" t="n">
        <f aca="false">U182*V182</f>
        <v>3600</v>
      </c>
      <c r="X182" s="4" t="str">
        <f aca="false">IF(R182&lt;tablas!$C$3,"No activa",INDEX(tablas!$B$3:$B$8,MATCH(R182,tablas!$C$3:$C$8,1)))</f>
        <v>N6</v>
      </c>
      <c r="Y182" s="7" t="n">
        <f aca="false">IF(R182&lt;tablas!$C$3,0,INDEX(tablas!$D$3:$D$8,MATCH(R182,tablas!$C$3:$C$8,1)))*V182</f>
        <v>3600</v>
      </c>
      <c r="Z182" s="4" t="str">
        <f aca="false">IF(S182&gt;=tablas!$C$3,"Activa",IF(S182&gt;=Parametros!$B$5,"Cerca","No activa"))</f>
        <v>Activa</v>
      </c>
      <c r="AA182" s="6" t="n">
        <f aca="false">MAX(0,tablas!$C$3-S182)</f>
        <v>0</v>
      </c>
    </row>
    <row r="183" customFormat="false" ht="15" hidden="false" customHeight="false" outlineLevel="0" collapsed="false">
      <c r="A183" s="14" t="str">
        <f aca="false">base!A183</f>
        <v>77062441-5</v>
      </c>
      <c r="B183" s="14" t="str">
        <f aca="false">base!E183</f>
        <v>Counter</v>
      </c>
      <c r="C183" s="14" t="str">
        <f aca="false">base!D183</f>
        <v>Counter</v>
      </c>
      <c r="D183" s="14" t="str">
        <f aca="false">base!F183</f>
        <v>ZULLY MARIN TELLO</v>
      </c>
      <c r="E183" s="14" t="str">
        <f aca="false">base!G183</f>
        <v>JHIMY TAFUR CHAVEZ</v>
      </c>
      <c r="F183" s="14" t="n">
        <f aca="false">N(base!O183)</f>
        <v>1</v>
      </c>
      <c r="G183" s="4" t="n">
        <f aca="false">SUM(base!U183:AF183)+N(base!AK183)</f>
        <v>55</v>
      </c>
      <c r="H183" s="14" t="n">
        <f aca="false">N(base!S183)</f>
        <v>22</v>
      </c>
      <c r="I183" s="6" t="n">
        <f aca="false">IFERROR(G183/H183,0)</f>
        <v>2.5</v>
      </c>
      <c r="J183" s="4" t="n">
        <f aca="false">SUM(base!AG183:AJ183)</f>
        <v>2</v>
      </c>
      <c r="K183" s="5" t="n">
        <f aca="false">IFERROR((base!AG183+base!AH183)/(base!K183+base!L183),0)</f>
        <v>1</v>
      </c>
      <c r="L183" s="5" t="n">
        <f aca="false">MAX(N(base!AI183),K183*N(base!M183))</f>
        <v>1</v>
      </c>
      <c r="M183" s="5" t="n">
        <f aca="false">MAX(N(base!AJ183),K183*N(base!N183))</f>
        <v>1</v>
      </c>
      <c r="N183" s="5" t="n">
        <f aca="false">base!AG183+base!AH183+L183+M183</f>
        <v>4</v>
      </c>
      <c r="O183" s="14" t="n">
        <f aca="false">N(base!T183)</f>
        <v>8</v>
      </c>
      <c r="P183" s="6" t="n">
        <f aca="false">IFERROR(J183/O183,0)</f>
        <v>0.25</v>
      </c>
      <c r="Q183" s="6" t="n">
        <f aca="false">IFERROR(N183/O183,0)</f>
        <v>0.5</v>
      </c>
      <c r="R183" s="6" t="n">
        <f aca="false">Parametros!$B$3*I183+Parametros!$B$4*P183</f>
        <v>1.825</v>
      </c>
      <c r="S183" s="6" t="n">
        <f aca="false">Parametros!$B$3*I183+Parametros!$B$4*Q183</f>
        <v>1.9</v>
      </c>
      <c r="T183" s="4" t="str">
        <f aca="false">IF(S183&lt;tablas!$C$3,"No activa",INDEX(tablas!$B$3:$B$8,MATCH(S183,tablas!$C$3:$C$8,1)))</f>
        <v>N6</v>
      </c>
      <c r="U183" s="15" t="n">
        <f aca="false">IF(S183&lt;tablas!$C$3,0,INDEX(tablas!$D$3:$D$8,MATCH(S183,tablas!$C$3:$C$8,1)))</f>
        <v>2</v>
      </c>
      <c r="V183" s="16" t="n">
        <f aca="false">N(base!AQ183)</f>
        <v>1200</v>
      </c>
      <c r="W183" s="7" t="n">
        <f aca="false">U183*V183</f>
        <v>2400</v>
      </c>
      <c r="X183" s="4" t="str">
        <f aca="false">IF(R183&lt;tablas!$C$3,"No activa",INDEX(tablas!$B$3:$B$8,MATCH(R183,tablas!$C$3:$C$8,1)))</f>
        <v>N6</v>
      </c>
      <c r="Y183" s="7" t="n">
        <f aca="false">IF(R183&lt;tablas!$C$3,0,INDEX(tablas!$D$3:$D$8,MATCH(R183,tablas!$C$3:$C$8,1)))*V183</f>
        <v>2400</v>
      </c>
      <c r="Z183" s="4" t="str">
        <f aca="false">IF(S183&gt;=tablas!$C$3,"Activa",IF(S183&gt;=Parametros!$B$5,"Cerca","No activa"))</f>
        <v>Activa</v>
      </c>
      <c r="AA183" s="6" t="n">
        <f aca="false">MAX(0,tablas!$C$3-S183)</f>
        <v>0</v>
      </c>
    </row>
    <row r="184" customFormat="false" ht="15" hidden="false" customHeight="false" outlineLevel="0" collapsed="false">
      <c r="A184" s="14" t="str">
        <f aca="false">base!A184</f>
        <v>47292898-3</v>
      </c>
      <c r="B184" s="14" t="str">
        <f aca="false">base!E184</f>
        <v>Counter</v>
      </c>
      <c r="C184" s="14" t="str">
        <f aca="false">base!D184</f>
        <v>Counter</v>
      </c>
      <c r="D184" s="14" t="str">
        <f aca="false">base!F184</f>
        <v>ZULLY MARIN TELLO</v>
      </c>
      <c r="E184" s="14" t="str">
        <f aca="false">base!G184</f>
        <v>JHIMY TAFUR CHAVEZ</v>
      </c>
      <c r="F184" s="14" t="n">
        <f aca="false">N(base!O184)</f>
        <v>0.5</v>
      </c>
      <c r="G184" s="4" t="n">
        <f aca="false">SUM(base!U184:AF184)+N(base!AK184)</f>
        <v>12</v>
      </c>
      <c r="H184" s="14" t="n">
        <f aca="false">N(base!S184)</f>
        <v>11</v>
      </c>
      <c r="I184" s="6" t="n">
        <f aca="false">IFERROR(G184/H184,0)</f>
        <v>1.09090909090909</v>
      </c>
      <c r="J184" s="4" t="n">
        <f aca="false">SUM(base!AG184:AJ184)</f>
        <v>1</v>
      </c>
      <c r="K184" s="5" t="n">
        <f aca="false">IFERROR((base!AG184+base!AH184)/(base!K184+base!L184),0)</f>
        <v>0.5</v>
      </c>
      <c r="L184" s="5" t="n">
        <f aca="false">MAX(N(base!AI184),K184*N(base!M184))</f>
        <v>0</v>
      </c>
      <c r="M184" s="5" t="n">
        <f aca="false">MAX(N(base!AJ184),K184*N(base!N184))</f>
        <v>0</v>
      </c>
      <c r="N184" s="5" t="n">
        <f aca="false">base!AG184+base!AH184+L184+M184</f>
        <v>1</v>
      </c>
      <c r="O184" s="14" t="n">
        <f aca="false">N(base!T184)</f>
        <v>4</v>
      </c>
      <c r="P184" s="6" t="n">
        <f aca="false">IFERROR(J184/O184,0)</f>
        <v>0.25</v>
      </c>
      <c r="Q184" s="6" t="n">
        <f aca="false">IFERROR(N184/O184,0)</f>
        <v>0.25</v>
      </c>
      <c r="R184" s="6" t="n">
        <f aca="false">Parametros!$B$3*I184+Parametros!$B$4*P184</f>
        <v>0.838636363636364</v>
      </c>
      <c r="S184" s="6" t="n">
        <f aca="false">Parametros!$B$3*I184+Parametros!$B$4*Q184</f>
        <v>0.838636363636364</v>
      </c>
      <c r="T184" s="4" t="str">
        <f aca="false">IF(S184&lt;tablas!$C$3,"No activa",INDEX(tablas!$B$3:$B$8,MATCH(S184,tablas!$C$3:$C$8,1)))</f>
        <v>N1</v>
      </c>
      <c r="U184" s="15" t="n">
        <f aca="false">IF(S184&lt;tablas!$C$3,0,INDEX(tablas!$D$3:$D$8,MATCH(S184,tablas!$C$3:$C$8,1)))</f>
        <v>0.3</v>
      </c>
      <c r="V184" s="16" t="n">
        <f aca="false">N(base!AQ184)</f>
        <v>600</v>
      </c>
      <c r="W184" s="7" t="n">
        <f aca="false">U184*V184</f>
        <v>180</v>
      </c>
      <c r="X184" s="4" t="str">
        <f aca="false">IF(R184&lt;tablas!$C$3,"No activa",INDEX(tablas!$B$3:$B$8,MATCH(R184,tablas!$C$3:$C$8,1)))</f>
        <v>N1</v>
      </c>
      <c r="Y184" s="7" t="n">
        <f aca="false">IF(R184&lt;tablas!$C$3,0,INDEX(tablas!$D$3:$D$8,MATCH(R184,tablas!$C$3:$C$8,1)))*V184</f>
        <v>180</v>
      </c>
      <c r="Z184" s="4" t="str">
        <f aca="false">IF(S184&gt;=tablas!$C$3,"Activa",IF(S184&gt;=Parametros!$B$5,"Cerca","No activa"))</f>
        <v>Activa</v>
      </c>
      <c r="AA184" s="6" t="n">
        <f aca="false">MAX(0,tablas!$C$3-S184)</f>
        <v>0</v>
      </c>
    </row>
    <row r="185" customFormat="false" ht="15" hidden="false" customHeight="false" outlineLevel="0" collapsed="false">
      <c r="A185" s="14" t="str">
        <f aca="false">base!A185</f>
        <v>71975516-5</v>
      </c>
      <c r="B185" s="14" t="str">
        <f aca="false">base!E185</f>
        <v>Outbound Regular</v>
      </c>
      <c r="C185" s="14" t="str">
        <f aca="false">base!D185</f>
        <v>Outbound</v>
      </c>
      <c r="D185" s="14" t="str">
        <f aca="false">base!F185</f>
        <v>ZULLY MARIN TELLO</v>
      </c>
      <c r="E185" s="14" t="str">
        <f aca="false">base!G185</f>
        <v>JHIMY TAFUR CHAVEZ</v>
      </c>
      <c r="F185" s="14" t="n">
        <f aca="false">N(base!O185)</f>
        <v>1</v>
      </c>
      <c r="G185" s="4" t="n">
        <f aca="false">SUM(base!U185:AF185)+N(base!AK185)</f>
        <v>5</v>
      </c>
      <c r="H185" s="14" t="n">
        <f aca="false">N(base!S185)</f>
        <v>5</v>
      </c>
      <c r="I185" s="6" t="n">
        <f aca="false">IFERROR(G185/H185,0)</f>
        <v>1</v>
      </c>
      <c r="J185" s="4" t="n">
        <f aca="false">SUM(base!AG185:AJ185)</f>
        <v>1</v>
      </c>
      <c r="K185" s="5" t="n">
        <f aca="false">IFERROR((base!AG185+base!AH185)/(base!K185+base!L185),0)</f>
        <v>0.5</v>
      </c>
      <c r="L185" s="5" t="n">
        <f aca="false">MAX(N(base!AI185),K185*N(base!M185))</f>
        <v>0.5</v>
      </c>
      <c r="M185" s="5" t="n">
        <f aca="false">MAX(N(base!AJ185),K185*N(base!N185))</f>
        <v>0.5</v>
      </c>
      <c r="N185" s="5" t="n">
        <f aca="false">base!AG185+base!AH185+L185+M185</f>
        <v>2</v>
      </c>
      <c r="O185" s="14" t="n">
        <f aca="false">N(base!T185)</f>
        <v>2</v>
      </c>
      <c r="P185" s="6" t="n">
        <f aca="false">IFERROR(J185/O185,0)</f>
        <v>0.5</v>
      </c>
      <c r="Q185" s="6" t="n">
        <f aca="false">IFERROR(N185/O185,0)</f>
        <v>1</v>
      </c>
      <c r="R185" s="6" t="n">
        <f aca="false">Parametros!$B$3*I185+Parametros!$B$4*P185</f>
        <v>0.85</v>
      </c>
      <c r="S185" s="6" t="n">
        <f aca="false">Parametros!$B$3*I185+Parametros!$B$4*Q185</f>
        <v>1</v>
      </c>
      <c r="T185" s="4" t="str">
        <f aca="false">IF(S185&lt;tablas!$C$3,"No activa",INDEX(tablas!$B$3:$B$8,MATCH(S185,tablas!$C$3:$C$8,1)))</f>
        <v>N3</v>
      </c>
      <c r="U185" s="15" t="n">
        <f aca="false">IF(S185&lt;tablas!$C$3,0,INDEX(tablas!$D$3:$D$8,MATCH(S185,tablas!$C$3:$C$8,1)))</f>
        <v>1</v>
      </c>
      <c r="V185" s="16" t="n">
        <f aca="false">N(base!AQ185)</f>
        <v>1200</v>
      </c>
      <c r="W185" s="7" t="n">
        <f aca="false">U185*V185</f>
        <v>1200</v>
      </c>
      <c r="X185" s="4" t="str">
        <f aca="false">IF(R185&lt;tablas!$C$3,"No activa",INDEX(tablas!$B$3:$B$8,MATCH(R185,tablas!$C$3:$C$8,1)))</f>
        <v>N1</v>
      </c>
      <c r="Y185" s="7" t="n">
        <f aca="false">IF(R185&lt;tablas!$C$3,0,INDEX(tablas!$D$3:$D$8,MATCH(R185,tablas!$C$3:$C$8,1)))*V185</f>
        <v>360</v>
      </c>
      <c r="Z185" s="4" t="str">
        <f aca="false">IF(S185&gt;=tablas!$C$3,"Activa",IF(S185&gt;=Parametros!$B$5,"Cerca","No activa"))</f>
        <v>Activa</v>
      </c>
      <c r="AA185" s="6" t="n">
        <f aca="false">MAX(0,tablas!$C$3-S185)</f>
        <v>0</v>
      </c>
    </row>
    <row r="186" customFormat="false" ht="15" hidden="false" customHeight="false" outlineLevel="0" collapsed="false">
      <c r="A186" s="14" t="str">
        <f aca="false">base!A186</f>
        <v>47372798-1</v>
      </c>
      <c r="B186" s="14" t="str">
        <f aca="false">base!E186</f>
        <v>Outbound Regular</v>
      </c>
      <c r="C186" s="14" t="str">
        <f aca="false">base!D186</f>
        <v>Outbound</v>
      </c>
      <c r="D186" s="14" t="str">
        <f aca="false">base!F186</f>
        <v>ZULLY MARIN TELLO</v>
      </c>
      <c r="E186" s="14" t="str">
        <f aca="false">base!G186</f>
        <v>JHIMY TAFUR CHAVEZ</v>
      </c>
      <c r="F186" s="14" t="n">
        <f aca="false">N(base!O186)</f>
        <v>1</v>
      </c>
      <c r="G186" s="4" t="n">
        <f aca="false">SUM(base!U186:AF186)+N(base!AK186)</f>
        <v>0</v>
      </c>
      <c r="H186" s="14" t="n">
        <f aca="false">N(base!S186)</f>
        <v>5</v>
      </c>
      <c r="I186" s="6" t="n">
        <f aca="false">IFERROR(G186/H186,0)</f>
        <v>0</v>
      </c>
      <c r="J186" s="4" t="n">
        <f aca="false">SUM(base!AG186:AJ186)</f>
        <v>0</v>
      </c>
      <c r="K186" s="5" t="n">
        <f aca="false">IFERROR((base!AG186+base!AH186)/(base!K186+base!L186),0)</f>
        <v>0</v>
      </c>
      <c r="L186" s="5" t="n">
        <f aca="false">MAX(N(base!AI186),K186*N(base!M186))</f>
        <v>0</v>
      </c>
      <c r="M186" s="5" t="n">
        <f aca="false">MAX(N(base!AJ186),K186*N(base!N186))</f>
        <v>0</v>
      </c>
      <c r="N186" s="5" t="n">
        <f aca="false">base!AG186+base!AH186+L186+M186</f>
        <v>0</v>
      </c>
      <c r="O186" s="14" t="n">
        <f aca="false">N(base!T186)</f>
        <v>2</v>
      </c>
      <c r="P186" s="6" t="n">
        <f aca="false">IFERROR(J186/O186,0)</f>
        <v>0</v>
      </c>
      <c r="Q186" s="6" t="n">
        <f aca="false">IFERROR(N186/O186,0)</f>
        <v>0</v>
      </c>
      <c r="R186" s="6" t="n">
        <f aca="false">Parametros!$B$3*I186+Parametros!$B$4*P186</f>
        <v>0</v>
      </c>
      <c r="S186" s="6" t="n">
        <f aca="false">Parametros!$B$3*I186+Parametros!$B$4*Q186</f>
        <v>0</v>
      </c>
      <c r="T186" s="4" t="str">
        <f aca="false">IF(S186&lt;tablas!$C$3,"No activa",INDEX(tablas!$B$3:$B$8,MATCH(S186,tablas!$C$3:$C$8,1)))</f>
        <v>No activa</v>
      </c>
      <c r="U186" s="15" t="n">
        <f aca="false">IF(S186&lt;tablas!$C$3,0,INDEX(tablas!$D$3:$D$8,MATCH(S186,tablas!$C$3:$C$8,1)))</f>
        <v>0</v>
      </c>
      <c r="V186" s="16" t="n">
        <f aca="false">N(base!AQ186)</f>
        <v>1200</v>
      </c>
      <c r="W186" s="7" t="n">
        <f aca="false">U186*V186</f>
        <v>0</v>
      </c>
      <c r="X186" s="4" t="str">
        <f aca="false">IF(R186&lt;tablas!$C$3,"No activa",INDEX(tablas!$B$3:$B$8,MATCH(R186,tablas!$C$3:$C$8,1)))</f>
        <v>No activa</v>
      </c>
      <c r="Y186" s="7" t="n">
        <f aca="false">IF(R186&lt;tablas!$C$3,0,INDEX(tablas!$D$3:$D$8,MATCH(R186,tablas!$C$3:$C$8,1)))*V186</f>
        <v>0</v>
      </c>
      <c r="Z186" s="4" t="str">
        <f aca="false">IF(S186&gt;=tablas!$C$3,"Activa",IF(S186&gt;=Parametros!$B$5,"Cerca","No activa"))</f>
        <v>No activa</v>
      </c>
      <c r="AA186" s="6" t="n">
        <f aca="false">MAX(0,tablas!$C$3-S186)</f>
        <v>0.8</v>
      </c>
    </row>
    <row r="187" customFormat="false" ht="15" hidden="false" customHeight="false" outlineLevel="0" collapsed="false">
      <c r="A187" s="14" t="str">
        <f aca="false">base!A187</f>
        <v>72315053-7</v>
      </c>
      <c r="B187" s="14" t="str">
        <f aca="false">base!E187</f>
        <v>Outbound Regular</v>
      </c>
      <c r="C187" s="14" t="str">
        <f aca="false">base!D187</f>
        <v>Outbound</v>
      </c>
      <c r="D187" s="14" t="str">
        <f aca="false">base!F187</f>
        <v>ZULLY MARIN TELLO</v>
      </c>
      <c r="E187" s="14" t="str">
        <f aca="false">base!G187</f>
        <v>JHIMY TAFUR CHAVEZ</v>
      </c>
      <c r="F187" s="14" t="n">
        <f aca="false">N(base!O187)</f>
        <v>0.5</v>
      </c>
      <c r="G187" s="4" t="n">
        <f aca="false">SUM(base!U187:AF187)+N(base!AK187)</f>
        <v>4</v>
      </c>
      <c r="H187" s="14" t="n">
        <f aca="false">N(base!S187)</f>
        <v>3</v>
      </c>
      <c r="I187" s="6" t="n">
        <f aca="false">IFERROR(G187/H187,0)</f>
        <v>1.33333333333333</v>
      </c>
      <c r="J187" s="4" t="n">
        <f aca="false">SUM(base!AG187:AJ187)</f>
        <v>0</v>
      </c>
      <c r="K187" s="5" t="n">
        <f aca="false">IFERROR((base!AG187+base!AH187)/(base!K187+base!L187),0)</f>
        <v>0</v>
      </c>
      <c r="L187" s="5" t="n">
        <f aca="false">MAX(N(base!AI187),K187*N(base!M187))</f>
        <v>0</v>
      </c>
      <c r="M187" s="5" t="n">
        <f aca="false">MAX(N(base!AJ187),K187*N(base!N187))</f>
        <v>0</v>
      </c>
      <c r="N187" s="5" t="n">
        <f aca="false">base!AG187+base!AH187+L187+M187</f>
        <v>0</v>
      </c>
      <c r="O187" s="14" t="n">
        <f aca="false">N(base!T187)</f>
        <v>1</v>
      </c>
      <c r="P187" s="6" t="n">
        <f aca="false">IFERROR(J187/O187,0)</f>
        <v>0</v>
      </c>
      <c r="Q187" s="6" t="n">
        <f aca="false">IFERROR(N187/O187,0)</f>
        <v>0</v>
      </c>
      <c r="R187" s="6" t="n">
        <f aca="false">Parametros!$B$3*I187+Parametros!$B$4*P187</f>
        <v>0.933333333333333</v>
      </c>
      <c r="S187" s="6" t="n">
        <f aca="false">Parametros!$B$3*I187+Parametros!$B$4*Q187</f>
        <v>0.933333333333333</v>
      </c>
      <c r="T187" s="4" t="str">
        <f aca="false">IF(S187&lt;tablas!$C$3,"No activa",INDEX(tablas!$B$3:$B$8,MATCH(S187,tablas!$C$3:$C$8,1)))</f>
        <v>N2</v>
      </c>
      <c r="U187" s="15" t="n">
        <f aca="false">IF(S187&lt;tablas!$C$3,0,INDEX(tablas!$D$3:$D$8,MATCH(S187,tablas!$C$3:$C$8,1)))</f>
        <v>0.9</v>
      </c>
      <c r="V187" s="16" t="n">
        <f aca="false">N(base!AQ187)</f>
        <v>600</v>
      </c>
      <c r="W187" s="7" t="n">
        <f aca="false">U187*V187</f>
        <v>540</v>
      </c>
      <c r="X187" s="4" t="str">
        <f aca="false">IF(R187&lt;tablas!$C$3,"No activa",INDEX(tablas!$B$3:$B$8,MATCH(R187,tablas!$C$3:$C$8,1)))</f>
        <v>N2</v>
      </c>
      <c r="Y187" s="7" t="n">
        <f aca="false">IF(R187&lt;tablas!$C$3,0,INDEX(tablas!$D$3:$D$8,MATCH(R187,tablas!$C$3:$C$8,1)))*V187</f>
        <v>540</v>
      </c>
      <c r="Z187" s="4" t="str">
        <f aca="false">IF(S187&gt;=tablas!$C$3,"Activa",IF(S187&gt;=Parametros!$B$5,"Cerca","No activa"))</f>
        <v>Activa</v>
      </c>
      <c r="AA187" s="6" t="n">
        <f aca="false">MAX(0,tablas!$C$3-S187)</f>
        <v>0</v>
      </c>
    </row>
    <row r="188" customFormat="false" ht="15" hidden="false" customHeight="false" outlineLevel="0" collapsed="false">
      <c r="A188" s="14" t="str">
        <f aca="false">base!A188</f>
        <v>76267407-1</v>
      </c>
      <c r="B188" s="14" t="str">
        <f aca="false">base!E188</f>
        <v>Inbound Premium</v>
      </c>
      <c r="C188" s="14" t="str">
        <f aca="false">base!D188</f>
        <v>Inbound</v>
      </c>
      <c r="D188" s="14" t="str">
        <f aca="false">base!F188</f>
        <v>ANA CECILIA LEON CHACON</v>
      </c>
      <c r="E188" s="14" t="str">
        <f aca="false">base!G188</f>
        <v>JOSE ANGELATS AGREDA</v>
      </c>
      <c r="F188" s="14" t="n">
        <f aca="false">N(base!O188)</f>
        <v>0.25</v>
      </c>
      <c r="G188" s="4" t="n">
        <f aca="false">SUM(base!U188:AF188)+N(base!AK188)</f>
        <v>0</v>
      </c>
      <c r="H188" s="14" t="n">
        <f aca="false">N(base!S188)</f>
        <v>4</v>
      </c>
      <c r="I188" s="6" t="n">
        <f aca="false">IFERROR(G188/H188,0)</f>
        <v>0</v>
      </c>
      <c r="J188" s="4" t="n">
        <f aca="false">SUM(base!AG188:AJ188)</f>
        <v>0</v>
      </c>
      <c r="K188" s="5" t="n">
        <f aca="false">IFERROR((base!AG188+base!AH188)/(base!K188+base!L188),0)</f>
        <v>0</v>
      </c>
      <c r="L188" s="5" t="n">
        <f aca="false">MAX(N(base!AI188),K188*N(base!M188))</f>
        <v>0</v>
      </c>
      <c r="M188" s="5" t="n">
        <f aca="false">MAX(N(base!AJ188),K188*N(base!N188))</f>
        <v>0</v>
      </c>
      <c r="N188" s="5" t="n">
        <f aca="false">base!AG188+base!AH188+L188+M188</f>
        <v>0</v>
      </c>
      <c r="O188" s="14" t="n">
        <f aca="false">N(base!T188)</f>
        <v>1</v>
      </c>
      <c r="P188" s="6" t="n">
        <f aca="false">IFERROR(J188/O188,0)</f>
        <v>0</v>
      </c>
      <c r="Q188" s="6" t="n">
        <f aca="false">IFERROR(N188/O188,0)</f>
        <v>0</v>
      </c>
      <c r="R188" s="6" t="n">
        <f aca="false">Parametros!$B$3*I188+Parametros!$B$4*P188</f>
        <v>0</v>
      </c>
      <c r="S188" s="6" t="n">
        <f aca="false">Parametros!$B$3*I188+Parametros!$B$4*Q188</f>
        <v>0</v>
      </c>
      <c r="T188" s="4" t="str">
        <f aca="false">IF(S188&lt;tablas!$C$3,"No activa",INDEX(tablas!$B$3:$B$8,MATCH(S188,tablas!$C$3:$C$8,1)))</f>
        <v>No activa</v>
      </c>
      <c r="U188" s="15" t="n">
        <f aca="false">IF(S188&lt;tablas!$C$3,0,INDEX(tablas!$D$3:$D$8,MATCH(S188,tablas!$C$3:$C$8,1)))</f>
        <v>0</v>
      </c>
      <c r="V188" s="16" t="n">
        <f aca="false">N(base!AQ188)</f>
        <v>300</v>
      </c>
      <c r="W188" s="7" t="n">
        <f aca="false">U188*V188</f>
        <v>0</v>
      </c>
      <c r="X188" s="4" t="str">
        <f aca="false">IF(R188&lt;tablas!$C$3,"No activa",INDEX(tablas!$B$3:$B$8,MATCH(R188,tablas!$C$3:$C$8,1)))</f>
        <v>No activa</v>
      </c>
      <c r="Y188" s="7" t="n">
        <f aca="false">IF(R188&lt;tablas!$C$3,0,INDEX(tablas!$D$3:$D$8,MATCH(R188,tablas!$C$3:$C$8,1)))*V188</f>
        <v>0</v>
      </c>
      <c r="Z188" s="4" t="str">
        <f aca="false">IF(S188&gt;=tablas!$C$3,"Activa",IF(S188&gt;=Parametros!$B$5,"Cerca","No activa"))</f>
        <v>No activa</v>
      </c>
      <c r="AA188" s="6" t="n">
        <f aca="false">MAX(0,tablas!$C$3-S188)</f>
        <v>0.8</v>
      </c>
    </row>
    <row r="189" customFormat="false" ht="15" hidden="false" customHeight="false" outlineLevel="0" collapsed="false">
      <c r="A189" s="14" t="str">
        <f aca="false">base!A189</f>
        <v>48081181-5</v>
      </c>
      <c r="B189" s="14" t="str">
        <f aca="false">base!E189</f>
        <v>Inbound Premium</v>
      </c>
      <c r="C189" s="14" t="str">
        <f aca="false">base!D189</f>
        <v>Inbound</v>
      </c>
      <c r="D189" s="14" t="str">
        <f aca="false">base!F189</f>
        <v>ANA CECILIA LEON CHACON</v>
      </c>
      <c r="E189" s="14" t="str">
        <f aca="false">base!G189</f>
        <v>JOSE ANGELATS AGREDA</v>
      </c>
      <c r="F189" s="14" t="n">
        <f aca="false">N(base!O189)</f>
        <v>0.5</v>
      </c>
      <c r="G189" s="4" t="n">
        <f aca="false">SUM(base!U189:AF189)+N(base!AK189)</f>
        <v>0</v>
      </c>
      <c r="H189" s="14" t="n">
        <f aca="false">N(base!S189)</f>
        <v>8</v>
      </c>
      <c r="I189" s="6" t="n">
        <f aca="false">IFERROR(G189/H189,0)</f>
        <v>0</v>
      </c>
      <c r="J189" s="4" t="n">
        <f aca="false">SUM(base!AG189:AJ189)</f>
        <v>4</v>
      </c>
      <c r="K189" s="5" t="n">
        <f aca="false">IFERROR((base!AG189+base!AH189)/(base!K189+base!L189),0)</f>
        <v>0</v>
      </c>
      <c r="L189" s="5" t="n">
        <f aca="false">MAX(N(base!AI189),K189*N(base!M189))</f>
        <v>1</v>
      </c>
      <c r="M189" s="5" t="n">
        <f aca="false">MAX(N(base!AJ189),K189*N(base!N189))</f>
        <v>0</v>
      </c>
      <c r="N189" s="5" t="n">
        <f aca="false">base!AG189+base!AH189+L189+M189</f>
        <v>4</v>
      </c>
      <c r="O189" s="14" t="n">
        <f aca="false">N(base!T189)</f>
        <v>3</v>
      </c>
      <c r="P189" s="6" t="n">
        <f aca="false">IFERROR(J189/O189,0)</f>
        <v>1.33333333333333</v>
      </c>
      <c r="Q189" s="6" t="n">
        <f aca="false">IFERROR(N189/O189,0)</f>
        <v>1.33333333333333</v>
      </c>
      <c r="R189" s="6" t="n">
        <f aca="false">Parametros!$B$3*I189+Parametros!$B$4*P189</f>
        <v>0.4</v>
      </c>
      <c r="S189" s="6" t="n">
        <f aca="false">Parametros!$B$3*I189+Parametros!$B$4*Q189</f>
        <v>0.4</v>
      </c>
      <c r="T189" s="4" t="str">
        <f aca="false">IF(S189&lt;tablas!$C$3,"No activa",INDEX(tablas!$B$3:$B$8,MATCH(S189,tablas!$C$3:$C$8,1)))</f>
        <v>No activa</v>
      </c>
      <c r="U189" s="15" t="n">
        <f aca="false">IF(S189&lt;tablas!$C$3,0,INDEX(tablas!$D$3:$D$8,MATCH(S189,tablas!$C$3:$C$8,1)))</f>
        <v>0</v>
      </c>
      <c r="V189" s="16" t="n">
        <f aca="false">N(base!AQ189)</f>
        <v>600</v>
      </c>
      <c r="W189" s="7" t="n">
        <f aca="false">U189*V189</f>
        <v>0</v>
      </c>
      <c r="X189" s="4" t="str">
        <f aca="false">IF(R189&lt;tablas!$C$3,"No activa",INDEX(tablas!$B$3:$B$8,MATCH(R189,tablas!$C$3:$C$8,1)))</f>
        <v>No activa</v>
      </c>
      <c r="Y189" s="7" t="n">
        <f aca="false">IF(R189&lt;tablas!$C$3,0,INDEX(tablas!$D$3:$D$8,MATCH(R189,tablas!$C$3:$C$8,1)))*V189</f>
        <v>0</v>
      </c>
      <c r="Z189" s="4" t="str">
        <f aca="false">IF(S189&gt;=tablas!$C$3,"Activa",IF(S189&gt;=Parametros!$B$5,"Cerca","No activa"))</f>
        <v>No activa</v>
      </c>
      <c r="AA189" s="6" t="n">
        <f aca="false">MAX(0,tablas!$C$3-S189)</f>
        <v>0.4</v>
      </c>
    </row>
    <row r="190" customFormat="false" ht="15" hidden="false" customHeight="false" outlineLevel="0" collapsed="false">
      <c r="A190" s="14" t="str">
        <f aca="false">base!A190</f>
        <v>73527127-5</v>
      </c>
      <c r="B190" s="14" t="str">
        <f aca="false">base!E190</f>
        <v>Inbound Premium</v>
      </c>
      <c r="C190" s="14" t="str">
        <f aca="false">base!D190</f>
        <v>Inbound</v>
      </c>
      <c r="D190" s="14" t="str">
        <f aca="false">base!F190</f>
        <v>ANA CECILIA LEON CHACON</v>
      </c>
      <c r="E190" s="14" t="str">
        <f aca="false">base!G190</f>
        <v>JOSE ANGELATS AGREDA</v>
      </c>
      <c r="F190" s="14" t="n">
        <f aca="false">N(base!O190)</f>
        <v>0.5</v>
      </c>
      <c r="G190" s="4" t="n">
        <f aca="false">SUM(base!U190:AF190)+N(base!AK190)</f>
        <v>3</v>
      </c>
      <c r="H190" s="14" t="n">
        <f aca="false">N(base!S190)</f>
        <v>8</v>
      </c>
      <c r="I190" s="6" t="n">
        <f aca="false">IFERROR(G190/H190,0)</f>
        <v>0.375</v>
      </c>
      <c r="J190" s="4" t="n">
        <f aca="false">SUM(base!AG190:AJ190)</f>
        <v>1</v>
      </c>
      <c r="K190" s="5" t="n">
        <f aca="false">IFERROR((base!AG190+base!AH190)/(base!K190+base!L190),0)</f>
        <v>0</v>
      </c>
      <c r="L190" s="5" t="n">
        <f aca="false">MAX(N(base!AI190),K190*N(base!M190))</f>
        <v>0</v>
      </c>
      <c r="M190" s="5" t="n">
        <f aca="false">MAX(N(base!AJ190),K190*N(base!N190))</f>
        <v>0</v>
      </c>
      <c r="N190" s="5" t="n">
        <f aca="false">base!AG190+base!AH190+L190+M190</f>
        <v>1</v>
      </c>
      <c r="O190" s="14" t="n">
        <f aca="false">N(base!T190)</f>
        <v>3</v>
      </c>
      <c r="P190" s="6" t="n">
        <f aca="false">IFERROR(J190/O190,0)</f>
        <v>0.333333333333333</v>
      </c>
      <c r="Q190" s="6" t="n">
        <f aca="false">IFERROR(N190/O190,0)</f>
        <v>0.333333333333333</v>
      </c>
      <c r="R190" s="6" t="n">
        <f aca="false">Parametros!$B$3*I190+Parametros!$B$4*P190</f>
        <v>0.3625</v>
      </c>
      <c r="S190" s="6" t="n">
        <f aca="false">Parametros!$B$3*I190+Parametros!$B$4*Q190</f>
        <v>0.3625</v>
      </c>
      <c r="T190" s="4" t="str">
        <f aca="false">IF(S190&lt;tablas!$C$3,"No activa",INDEX(tablas!$B$3:$B$8,MATCH(S190,tablas!$C$3:$C$8,1)))</f>
        <v>No activa</v>
      </c>
      <c r="U190" s="15" t="n">
        <f aca="false">IF(S190&lt;tablas!$C$3,0,INDEX(tablas!$D$3:$D$8,MATCH(S190,tablas!$C$3:$C$8,1)))</f>
        <v>0</v>
      </c>
      <c r="V190" s="16" t="n">
        <f aca="false">N(base!AQ190)</f>
        <v>600</v>
      </c>
      <c r="W190" s="7" t="n">
        <f aca="false">U190*V190</f>
        <v>0</v>
      </c>
      <c r="X190" s="4" t="str">
        <f aca="false">IF(R190&lt;tablas!$C$3,"No activa",INDEX(tablas!$B$3:$B$8,MATCH(R190,tablas!$C$3:$C$8,1)))</f>
        <v>No activa</v>
      </c>
      <c r="Y190" s="7" t="n">
        <f aca="false">IF(R190&lt;tablas!$C$3,0,INDEX(tablas!$D$3:$D$8,MATCH(R190,tablas!$C$3:$C$8,1)))*V190</f>
        <v>0</v>
      </c>
      <c r="Z190" s="4" t="str">
        <f aca="false">IF(S190&gt;=tablas!$C$3,"Activa",IF(S190&gt;=Parametros!$B$5,"Cerca","No activa"))</f>
        <v>No activa</v>
      </c>
      <c r="AA190" s="6" t="n">
        <f aca="false">MAX(0,tablas!$C$3-S190)</f>
        <v>0.4375</v>
      </c>
    </row>
    <row r="191" customFormat="false" ht="15" hidden="false" customHeight="false" outlineLevel="0" collapsed="false">
      <c r="A191" s="14" t="str">
        <f aca="false">base!A191</f>
        <v>48305614-7</v>
      </c>
      <c r="B191" s="14" t="str">
        <f aca="false">base!E191</f>
        <v>Inbound Premium</v>
      </c>
      <c r="C191" s="14" t="str">
        <f aca="false">base!D191</f>
        <v>Inbound</v>
      </c>
      <c r="D191" s="14" t="str">
        <f aca="false">base!F191</f>
        <v>ANA CECILIA LEON CHACON</v>
      </c>
      <c r="E191" s="14" t="str">
        <f aca="false">base!G191</f>
        <v>JOSE ANGELATS AGREDA</v>
      </c>
      <c r="F191" s="14" t="n">
        <f aca="false">N(base!O191)</f>
        <v>0.5</v>
      </c>
      <c r="G191" s="4" t="n">
        <f aca="false">SUM(base!U191:AF191)+N(base!AK191)</f>
        <v>7</v>
      </c>
      <c r="H191" s="14" t="n">
        <f aca="false">N(base!S191)</f>
        <v>8</v>
      </c>
      <c r="I191" s="6" t="n">
        <f aca="false">IFERROR(G191/H191,0)</f>
        <v>0.875</v>
      </c>
      <c r="J191" s="4" t="n">
        <f aca="false">SUM(base!AG191:AJ191)</f>
        <v>3</v>
      </c>
      <c r="K191" s="5" t="n">
        <f aca="false">IFERROR((base!AG191+base!AH191)/(base!K191+base!L191),0)</f>
        <v>1.5</v>
      </c>
      <c r="L191" s="5" t="n">
        <f aca="false">MAX(N(base!AI191),K191*N(base!M191))</f>
        <v>0</v>
      </c>
      <c r="M191" s="5" t="n">
        <f aca="false">MAX(N(base!AJ191),K191*N(base!N191))</f>
        <v>0</v>
      </c>
      <c r="N191" s="5" t="n">
        <f aca="false">base!AG191+base!AH191+L191+M191</f>
        <v>3</v>
      </c>
      <c r="O191" s="14" t="n">
        <f aca="false">N(base!T191)</f>
        <v>2</v>
      </c>
      <c r="P191" s="6" t="n">
        <f aca="false">IFERROR(J191/O191,0)</f>
        <v>1.5</v>
      </c>
      <c r="Q191" s="6" t="n">
        <f aca="false">IFERROR(N191/O191,0)</f>
        <v>1.5</v>
      </c>
      <c r="R191" s="6" t="n">
        <f aca="false">Parametros!$B$3*I191+Parametros!$B$4*P191</f>
        <v>1.0625</v>
      </c>
      <c r="S191" s="6" t="n">
        <f aca="false">Parametros!$B$3*I191+Parametros!$B$4*Q191</f>
        <v>1.0625</v>
      </c>
      <c r="T191" s="4" t="str">
        <f aca="false">IF(S191&lt;tablas!$C$3,"No activa",INDEX(tablas!$B$3:$B$8,MATCH(S191,tablas!$C$3:$C$8,1)))</f>
        <v>N3</v>
      </c>
      <c r="U191" s="15" t="n">
        <f aca="false">IF(S191&lt;tablas!$C$3,0,INDEX(tablas!$D$3:$D$8,MATCH(S191,tablas!$C$3:$C$8,1)))</f>
        <v>1</v>
      </c>
      <c r="V191" s="16" t="n">
        <f aca="false">N(base!AQ191)</f>
        <v>600</v>
      </c>
      <c r="W191" s="7" t="n">
        <f aca="false">U191*V191</f>
        <v>600</v>
      </c>
      <c r="X191" s="4" t="str">
        <f aca="false">IF(R191&lt;tablas!$C$3,"No activa",INDEX(tablas!$B$3:$B$8,MATCH(R191,tablas!$C$3:$C$8,1)))</f>
        <v>N3</v>
      </c>
      <c r="Y191" s="7" t="n">
        <f aca="false">IF(R191&lt;tablas!$C$3,0,INDEX(tablas!$D$3:$D$8,MATCH(R191,tablas!$C$3:$C$8,1)))*V191</f>
        <v>600</v>
      </c>
      <c r="Z191" s="4" t="str">
        <f aca="false">IF(S191&gt;=tablas!$C$3,"Activa",IF(S191&gt;=Parametros!$B$5,"Cerca","No activa"))</f>
        <v>Activa</v>
      </c>
      <c r="AA191" s="6" t="n">
        <f aca="false">MAX(0,tablas!$C$3-S191)</f>
        <v>0</v>
      </c>
    </row>
    <row r="192" customFormat="false" ht="15" hidden="false" customHeight="false" outlineLevel="0" collapsed="false">
      <c r="A192" s="14" t="str">
        <f aca="false">base!A192</f>
        <v>70854691-2</v>
      </c>
      <c r="B192" s="14" t="str">
        <f aca="false">base!E192</f>
        <v>Inbound Premium</v>
      </c>
      <c r="C192" s="14" t="str">
        <f aca="false">base!D192</f>
        <v>Inbound</v>
      </c>
      <c r="D192" s="14" t="str">
        <f aca="false">base!F192</f>
        <v>ANA CECILIA LEON CHACON</v>
      </c>
      <c r="E192" s="14" t="str">
        <f aca="false">base!G192</f>
        <v>JOSE ANGELATS AGREDA</v>
      </c>
      <c r="F192" s="14" t="n">
        <f aca="false">N(base!O192)</f>
        <v>0.454545454545455</v>
      </c>
      <c r="G192" s="4" t="n">
        <f aca="false">SUM(base!U192:AF192)+N(base!AK192)</f>
        <v>1</v>
      </c>
      <c r="H192" s="14" t="n">
        <f aca="false">N(base!S192)</f>
        <v>7</v>
      </c>
      <c r="I192" s="6" t="n">
        <f aca="false">IFERROR(G192/H192,0)</f>
        <v>0.142857142857143</v>
      </c>
      <c r="J192" s="4" t="n">
        <f aca="false">SUM(base!AG192:AJ192)</f>
        <v>5</v>
      </c>
      <c r="K192" s="5" t="n">
        <f aca="false">IFERROR((base!AG192+base!AH192)/(base!K192+base!L192),0)</f>
        <v>5</v>
      </c>
      <c r="L192" s="5" t="n">
        <f aca="false">MAX(N(base!AI192),K192*N(base!M192))</f>
        <v>0</v>
      </c>
      <c r="M192" s="5" t="n">
        <f aca="false">MAX(N(base!AJ192),K192*N(base!N192))</f>
        <v>4.09090909090909</v>
      </c>
      <c r="N192" s="5" t="n">
        <f aca="false">base!AG192+base!AH192+L192+M192</f>
        <v>9.09090909090909</v>
      </c>
      <c r="O192" s="14" t="n">
        <f aca="false">N(base!T192)</f>
        <v>3</v>
      </c>
      <c r="P192" s="6" t="n">
        <f aca="false">IFERROR(J192/O192,0)</f>
        <v>1.66666666666667</v>
      </c>
      <c r="Q192" s="6" t="n">
        <f aca="false">IFERROR(N192/O192,0)</f>
        <v>3.03030303030303</v>
      </c>
      <c r="R192" s="6" t="n">
        <f aca="false">Parametros!$B$3*I192+Parametros!$B$4*P192</f>
        <v>0.6</v>
      </c>
      <c r="S192" s="6" t="n">
        <f aca="false">Parametros!$B$3*I192+Parametros!$B$4*Q192</f>
        <v>1.00909090909091</v>
      </c>
      <c r="T192" s="4" t="str">
        <f aca="false">IF(S192&lt;tablas!$C$3,"No activa",INDEX(tablas!$B$3:$B$8,MATCH(S192,tablas!$C$3:$C$8,1)))</f>
        <v>N3</v>
      </c>
      <c r="U192" s="15" t="n">
        <f aca="false">IF(S192&lt;tablas!$C$3,0,INDEX(tablas!$D$3:$D$8,MATCH(S192,tablas!$C$3:$C$8,1)))</f>
        <v>1</v>
      </c>
      <c r="V192" s="16" t="n">
        <f aca="false">N(base!AQ192)</f>
        <v>545</v>
      </c>
      <c r="W192" s="7" t="n">
        <f aca="false">U192*V192</f>
        <v>545</v>
      </c>
      <c r="X192" s="4" t="str">
        <f aca="false">IF(R192&lt;tablas!$C$3,"No activa",INDEX(tablas!$B$3:$B$8,MATCH(R192,tablas!$C$3:$C$8,1)))</f>
        <v>No activa</v>
      </c>
      <c r="Y192" s="7" t="n">
        <f aca="false">IF(R192&lt;tablas!$C$3,0,INDEX(tablas!$D$3:$D$8,MATCH(R192,tablas!$C$3:$C$8,1)))*V192</f>
        <v>0</v>
      </c>
      <c r="Z192" s="4" t="str">
        <f aca="false">IF(S192&gt;=tablas!$C$3,"Activa",IF(S192&gt;=Parametros!$B$5,"Cerca","No activa"))</f>
        <v>Activa</v>
      </c>
      <c r="AA192" s="6" t="n">
        <f aca="false">MAX(0,tablas!$C$3-S192)</f>
        <v>0</v>
      </c>
    </row>
    <row r="193" customFormat="false" ht="15" hidden="false" customHeight="false" outlineLevel="0" collapsed="false">
      <c r="A193" s="14" t="str">
        <f aca="false">base!A193</f>
        <v>73661366-8</v>
      </c>
      <c r="B193" s="14" t="str">
        <f aca="false">base!E193</f>
        <v>Inbound Regular</v>
      </c>
      <c r="C193" s="14" t="str">
        <f aca="false">base!D193</f>
        <v>Inbound</v>
      </c>
      <c r="D193" s="14" t="str">
        <f aca="false">base!F193</f>
        <v>ANA CECILIA LEON CHACON</v>
      </c>
      <c r="E193" s="14" t="str">
        <f aca="false">base!G193</f>
        <v>JOSE ANGELATS AGREDA</v>
      </c>
      <c r="F193" s="14" t="n">
        <f aca="false">N(base!O193)</f>
        <v>1</v>
      </c>
      <c r="G193" s="4" t="n">
        <f aca="false">SUM(base!U193:AF193)+N(base!AK193)</f>
        <v>4</v>
      </c>
      <c r="H193" s="14" t="n">
        <f aca="false">N(base!S193)</f>
        <v>10</v>
      </c>
      <c r="I193" s="6" t="n">
        <f aca="false">IFERROR(G193/H193,0)</f>
        <v>0.4</v>
      </c>
      <c r="J193" s="4" t="n">
        <f aca="false">SUM(base!AG193:AJ193)</f>
        <v>8</v>
      </c>
      <c r="K193" s="5" t="n">
        <f aca="false">IFERROR((base!AG193+base!AH193)/(base!K193+base!L193),0)</f>
        <v>4</v>
      </c>
      <c r="L193" s="5" t="n">
        <f aca="false">MAX(N(base!AI193),K193*N(base!M193))</f>
        <v>4</v>
      </c>
      <c r="M193" s="5" t="n">
        <f aca="false">MAX(N(base!AJ193),K193*N(base!N193))</f>
        <v>4</v>
      </c>
      <c r="N193" s="5" t="n">
        <f aca="false">base!AG193+base!AH193+L193+M193</f>
        <v>16</v>
      </c>
      <c r="O193" s="14" t="n">
        <f aca="false">N(base!T193)</f>
        <v>4</v>
      </c>
      <c r="P193" s="6" t="n">
        <f aca="false">IFERROR(J193/O193,0)</f>
        <v>2</v>
      </c>
      <c r="Q193" s="6" t="n">
        <f aca="false">IFERROR(N193/O193,0)</f>
        <v>4</v>
      </c>
      <c r="R193" s="6" t="n">
        <f aca="false">Parametros!$B$3*I193+Parametros!$B$4*P193</f>
        <v>0.88</v>
      </c>
      <c r="S193" s="6" t="n">
        <f aca="false">Parametros!$B$3*I193+Parametros!$B$4*Q193</f>
        <v>1.48</v>
      </c>
      <c r="T193" s="4" t="str">
        <f aca="false">IF(S193&lt;tablas!$C$3,"No activa",INDEX(tablas!$B$3:$B$8,MATCH(S193,tablas!$C$3:$C$8,1)))</f>
        <v>N6</v>
      </c>
      <c r="U193" s="15" t="n">
        <f aca="false">IF(S193&lt;tablas!$C$3,0,INDEX(tablas!$D$3:$D$8,MATCH(S193,tablas!$C$3:$C$8,1)))</f>
        <v>2</v>
      </c>
      <c r="V193" s="16" t="n">
        <f aca="false">N(base!AQ193)</f>
        <v>1200</v>
      </c>
      <c r="W193" s="7" t="n">
        <f aca="false">U193*V193</f>
        <v>2400</v>
      </c>
      <c r="X193" s="4" t="str">
        <f aca="false">IF(R193&lt;tablas!$C$3,"No activa",INDEX(tablas!$B$3:$B$8,MATCH(R193,tablas!$C$3:$C$8,1)))</f>
        <v>N1</v>
      </c>
      <c r="Y193" s="7" t="n">
        <f aca="false">IF(R193&lt;tablas!$C$3,0,INDEX(tablas!$D$3:$D$8,MATCH(R193,tablas!$C$3:$C$8,1)))*V193</f>
        <v>360</v>
      </c>
      <c r="Z193" s="4" t="str">
        <f aca="false">IF(S193&gt;=tablas!$C$3,"Activa",IF(S193&gt;=Parametros!$B$5,"Cerca","No activa"))</f>
        <v>Activa</v>
      </c>
      <c r="AA193" s="6" t="n">
        <f aca="false">MAX(0,tablas!$C$3-S193)</f>
        <v>0</v>
      </c>
    </row>
    <row r="194" customFormat="false" ht="15" hidden="false" customHeight="false" outlineLevel="0" collapsed="false">
      <c r="A194" s="14" t="str">
        <f aca="false">base!A194</f>
        <v>70801843-6</v>
      </c>
      <c r="B194" s="14" t="str">
        <f aca="false">base!E194</f>
        <v>Outbound Premium</v>
      </c>
      <c r="C194" s="14" t="str">
        <f aca="false">base!D194</f>
        <v>Outbound</v>
      </c>
      <c r="D194" s="14" t="str">
        <f aca="false">base!F194</f>
        <v>VERONICA SANTILLAN SALAZAR</v>
      </c>
      <c r="E194" s="14" t="str">
        <f aca="false">base!G194</f>
        <v>JOSE ANGELATS AGREDA</v>
      </c>
      <c r="F194" s="14" t="n">
        <f aca="false">N(base!O194)</f>
        <v>0.5</v>
      </c>
      <c r="G194" s="4" t="n">
        <f aca="false">SUM(base!U194:AF194)+N(base!AK194)</f>
        <v>0</v>
      </c>
      <c r="H194" s="14" t="n">
        <f aca="false">N(base!S194)</f>
        <v>4</v>
      </c>
      <c r="I194" s="6" t="n">
        <f aca="false">IFERROR(G194/H194,0)</f>
        <v>0</v>
      </c>
      <c r="J194" s="4" t="n">
        <f aca="false">SUM(base!AG194:AJ194)</f>
        <v>1</v>
      </c>
      <c r="K194" s="5" t="n">
        <f aca="false">IFERROR((base!AG194+base!AH194)/(base!K194+base!L194),0)</f>
        <v>0</v>
      </c>
      <c r="L194" s="5" t="n">
        <f aca="false">MAX(N(base!AI194),K194*N(base!M194))</f>
        <v>0</v>
      </c>
      <c r="M194" s="5" t="n">
        <f aca="false">MAX(N(base!AJ194),K194*N(base!N194))</f>
        <v>0</v>
      </c>
      <c r="N194" s="5" t="n">
        <f aca="false">base!AG194+base!AH194+L194+M194</f>
        <v>1</v>
      </c>
      <c r="O194" s="14" t="n">
        <f aca="false">N(base!T194)</f>
        <v>3</v>
      </c>
      <c r="P194" s="6" t="n">
        <f aca="false">IFERROR(J194/O194,0)</f>
        <v>0.333333333333333</v>
      </c>
      <c r="Q194" s="6" t="n">
        <f aca="false">IFERROR(N194/O194,0)</f>
        <v>0.333333333333333</v>
      </c>
      <c r="R194" s="6" t="n">
        <f aca="false">Parametros!$B$3*I194+Parametros!$B$4*P194</f>
        <v>0.1</v>
      </c>
      <c r="S194" s="6" t="n">
        <f aca="false">Parametros!$B$3*I194+Parametros!$B$4*Q194</f>
        <v>0.1</v>
      </c>
      <c r="T194" s="4" t="str">
        <f aca="false">IF(S194&lt;tablas!$C$3,"No activa",INDEX(tablas!$B$3:$B$8,MATCH(S194,tablas!$C$3:$C$8,1)))</f>
        <v>No activa</v>
      </c>
      <c r="U194" s="15" t="n">
        <f aca="false">IF(S194&lt;tablas!$C$3,0,INDEX(tablas!$D$3:$D$8,MATCH(S194,tablas!$C$3:$C$8,1)))</f>
        <v>0</v>
      </c>
      <c r="V194" s="16" t="n">
        <f aca="false">N(base!AQ194)</f>
        <v>600</v>
      </c>
      <c r="W194" s="7" t="n">
        <f aca="false">U194*V194</f>
        <v>0</v>
      </c>
      <c r="X194" s="4" t="str">
        <f aca="false">IF(R194&lt;tablas!$C$3,"No activa",INDEX(tablas!$B$3:$B$8,MATCH(R194,tablas!$C$3:$C$8,1)))</f>
        <v>No activa</v>
      </c>
      <c r="Y194" s="7" t="n">
        <f aca="false">IF(R194&lt;tablas!$C$3,0,INDEX(tablas!$D$3:$D$8,MATCH(R194,tablas!$C$3:$C$8,1)))*V194</f>
        <v>0</v>
      </c>
      <c r="Z194" s="4" t="str">
        <f aca="false">IF(S194&gt;=tablas!$C$3,"Activa",IF(S194&gt;=Parametros!$B$5,"Cerca","No activa"))</f>
        <v>No activa</v>
      </c>
      <c r="AA194" s="6" t="n">
        <f aca="false">MAX(0,tablas!$C$3-S194)</f>
        <v>0.7</v>
      </c>
    </row>
    <row r="195" customFormat="false" ht="15" hidden="false" customHeight="false" outlineLevel="0" collapsed="false">
      <c r="A195" s="14" t="str">
        <f aca="false">base!A195</f>
        <v>44239347-3</v>
      </c>
      <c r="B195" s="14" t="str">
        <f aca="false">base!E195</f>
        <v>Inbound Regular</v>
      </c>
      <c r="C195" s="14" t="str">
        <f aca="false">base!D195</f>
        <v>Inbound</v>
      </c>
      <c r="D195" s="14" t="str">
        <f aca="false">base!F195</f>
        <v>ANA CECILIA LEON CHACON</v>
      </c>
      <c r="E195" s="14" t="str">
        <f aca="false">base!G195</f>
        <v>JOSE ANGELATS AGREDA</v>
      </c>
      <c r="F195" s="14" t="n">
        <f aca="false">N(base!O195)</f>
        <v>0.5</v>
      </c>
      <c r="G195" s="4" t="n">
        <f aca="false">SUM(base!U195:AF195)+N(base!AK195)</f>
        <v>1</v>
      </c>
      <c r="H195" s="14" t="n">
        <f aca="false">N(base!S195)</f>
        <v>5</v>
      </c>
      <c r="I195" s="6" t="n">
        <f aca="false">IFERROR(G195/H195,0)</f>
        <v>0.2</v>
      </c>
      <c r="J195" s="4" t="n">
        <f aca="false">SUM(base!AG195:AJ195)</f>
        <v>4</v>
      </c>
      <c r="K195" s="5" t="n">
        <f aca="false">IFERROR((base!AG195+base!AH195)/(base!K195+base!L195),0)</f>
        <v>2</v>
      </c>
      <c r="L195" s="5" t="n">
        <f aca="false">MAX(N(base!AI195),K195*N(base!M195))</f>
        <v>0</v>
      </c>
      <c r="M195" s="5" t="n">
        <f aca="false">MAX(N(base!AJ195),K195*N(base!N195))</f>
        <v>0</v>
      </c>
      <c r="N195" s="5" t="n">
        <f aca="false">base!AG195+base!AH195+L195+M195</f>
        <v>4</v>
      </c>
      <c r="O195" s="14" t="n">
        <f aca="false">N(base!T195)</f>
        <v>2</v>
      </c>
      <c r="P195" s="6" t="n">
        <f aca="false">IFERROR(J195/O195,0)</f>
        <v>2</v>
      </c>
      <c r="Q195" s="6" t="n">
        <f aca="false">IFERROR(N195/O195,0)</f>
        <v>2</v>
      </c>
      <c r="R195" s="6" t="n">
        <f aca="false">Parametros!$B$3*I195+Parametros!$B$4*P195</f>
        <v>0.74</v>
      </c>
      <c r="S195" s="6" t="n">
        <f aca="false">Parametros!$B$3*I195+Parametros!$B$4*Q195</f>
        <v>0.74</v>
      </c>
      <c r="T195" s="4" t="str">
        <f aca="false">IF(S195&lt;tablas!$C$3,"No activa",INDEX(tablas!$B$3:$B$8,MATCH(S195,tablas!$C$3:$C$8,1)))</f>
        <v>No activa</v>
      </c>
      <c r="U195" s="15" t="n">
        <f aca="false">IF(S195&lt;tablas!$C$3,0,INDEX(tablas!$D$3:$D$8,MATCH(S195,tablas!$C$3:$C$8,1)))</f>
        <v>0</v>
      </c>
      <c r="V195" s="16" t="n">
        <f aca="false">N(base!AQ195)</f>
        <v>600</v>
      </c>
      <c r="W195" s="7" t="n">
        <f aca="false">U195*V195</f>
        <v>0</v>
      </c>
      <c r="X195" s="4" t="str">
        <f aca="false">IF(R195&lt;tablas!$C$3,"No activa",INDEX(tablas!$B$3:$B$8,MATCH(R195,tablas!$C$3:$C$8,1)))</f>
        <v>No activa</v>
      </c>
      <c r="Y195" s="7" t="n">
        <f aca="false">IF(R195&lt;tablas!$C$3,0,INDEX(tablas!$D$3:$D$8,MATCH(R195,tablas!$C$3:$C$8,1)))*V195</f>
        <v>0</v>
      </c>
      <c r="Z195" s="4" t="str">
        <f aca="false">IF(S195&gt;=tablas!$C$3,"Activa",IF(S195&gt;=Parametros!$B$5,"Cerca","No activa"))</f>
        <v>Cerca</v>
      </c>
      <c r="AA195" s="6" t="n">
        <f aca="false">MAX(0,tablas!$C$3-S195)</f>
        <v>0.0600000000000001</v>
      </c>
    </row>
    <row r="196" customFormat="false" ht="15" hidden="false" customHeight="false" outlineLevel="0" collapsed="false">
      <c r="A196" s="14" t="str">
        <f aca="false">base!A196</f>
        <v>48146819-7</v>
      </c>
      <c r="B196" s="14" t="str">
        <f aca="false">base!E196</f>
        <v>Inbound Regular</v>
      </c>
      <c r="C196" s="14" t="str">
        <f aca="false">base!D196</f>
        <v>Inbound</v>
      </c>
      <c r="D196" s="14" t="str">
        <f aca="false">base!F196</f>
        <v>ANA CECILIA LEON CHACON</v>
      </c>
      <c r="E196" s="14" t="str">
        <f aca="false">base!G196</f>
        <v>JOSE ANGELATS AGREDA</v>
      </c>
      <c r="F196" s="14" t="n">
        <f aca="false">N(base!O196)</f>
        <v>0.75</v>
      </c>
      <c r="G196" s="4" t="n">
        <f aca="false">SUM(base!U196:AF196)+N(base!AK196)</f>
        <v>5</v>
      </c>
      <c r="H196" s="14" t="n">
        <f aca="false">N(base!S196)</f>
        <v>8</v>
      </c>
      <c r="I196" s="6" t="n">
        <f aca="false">IFERROR(G196/H196,0)</f>
        <v>0.625</v>
      </c>
      <c r="J196" s="4" t="n">
        <f aca="false">SUM(base!AG196:AJ196)</f>
        <v>0</v>
      </c>
      <c r="K196" s="5" t="n">
        <f aca="false">IFERROR((base!AG196+base!AH196)/(base!K196+base!L196),0)</f>
        <v>0</v>
      </c>
      <c r="L196" s="5" t="n">
        <f aca="false">MAX(N(base!AI196),K196*N(base!M196))</f>
        <v>0</v>
      </c>
      <c r="M196" s="5" t="n">
        <f aca="false">MAX(N(base!AJ196),K196*N(base!N196))</f>
        <v>0</v>
      </c>
      <c r="N196" s="5" t="n">
        <f aca="false">base!AG196+base!AH196+L196+M196</f>
        <v>0</v>
      </c>
      <c r="O196" s="14" t="n">
        <f aca="false">N(base!T196)</f>
        <v>3</v>
      </c>
      <c r="P196" s="6" t="n">
        <f aca="false">IFERROR(J196/O196,0)</f>
        <v>0</v>
      </c>
      <c r="Q196" s="6" t="n">
        <f aca="false">IFERROR(N196/O196,0)</f>
        <v>0</v>
      </c>
      <c r="R196" s="6" t="n">
        <f aca="false">Parametros!$B$3*I196+Parametros!$B$4*P196</f>
        <v>0.4375</v>
      </c>
      <c r="S196" s="6" t="n">
        <f aca="false">Parametros!$B$3*I196+Parametros!$B$4*Q196</f>
        <v>0.4375</v>
      </c>
      <c r="T196" s="4" t="str">
        <f aca="false">IF(S196&lt;tablas!$C$3,"No activa",INDEX(tablas!$B$3:$B$8,MATCH(S196,tablas!$C$3:$C$8,1)))</f>
        <v>No activa</v>
      </c>
      <c r="U196" s="15" t="n">
        <f aca="false">IF(S196&lt;tablas!$C$3,0,INDEX(tablas!$D$3:$D$8,MATCH(S196,tablas!$C$3:$C$8,1)))</f>
        <v>0</v>
      </c>
      <c r="V196" s="16" t="n">
        <f aca="false">N(base!AQ196)</f>
        <v>900</v>
      </c>
      <c r="W196" s="7" t="n">
        <f aca="false">U196*V196</f>
        <v>0</v>
      </c>
      <c r="X196" s="4" t="str">
        <f aca="false">IF(R196&lt;tablas!$C$3,"No activa",INDEX(tablas!$B$3:$B$8,MATCH(R196,tablas!$C$3:$C$8,1)))</f>
        <v>No activa</v>
      </c>
      <c r="Y196" s="7" t="n">
        <f aca="false">IF(R196&lt;tablas!$C$3,0,INDEX(tablas!$D$3:$D$8,MATCH(R196,tablas!$C$3:$C$8,1)))*V196</f>
        <v>0</v>
      </c>
      <c r="Z196" s="4" t="str">
        <f aca="false">IF(S196&gt;=tablas!$C$3,"Activa",IF(S196&gt;=Parametros!$B$5,"Cerca","No activa"))</f>
        <v>No activa</v>
      </c>
      <c r="AA196" s="6" t="n">
        <f aca="false">MAX(0,tablas!$C$3-S196)</f>
        <v>0.3625</v>
      </c>
    </row>
    <row r="197" customFormat="false" ht="15" hidden="false" customHeight="false" outlineLevel="0" collapsed="false">
      <c r="A197" s="14" t="str">
        <f aca="false">base!A197</f>
        <v>47437021-1</v>
      </c>
      <c r="B197" s="14" t="str">
        <f aca="false">base!E197</f>
        <v>Inbound Regular</v>
      </c>
      <c r="C197" s="14" t="str">
        <f aca="false">base!D197</f>
        <v>Inbound</v>
      </c>
      <c r="D197" s="14" t="str">
        <f aca="false">base!F197</f>
        <v>ANA CECILIA LEON CHACON</v>
      </c>
      <c r="E197" s="14" t="str">
        <f aca="false">base!G197</f>
        <v>JOSE ANGELATS AGREDA</v>
      </c>
      <c r="F197" s="14" t="n">
        <f aca="false">N(base!O197)</f>
        <v>0.5</v>
      </c>
      <c r="G197" s="4" t="n">
        <f aca="false">SUM(base!U197:AF197)+N(base!AK197)</f>
        <v>0</v>
      </c>
      <c r="H197" s="14" t="n">
        <f aca="false">N(base!S197)</f>
        <v>5</v>
      </c>
      <c r="I197" s="6" t="n">
        <f aca="false">IFERROR(G197/H197,0)</f>
        <v>0</v>
      </c>
      <c r="J197" s="4" t="n">
        <f aca="false">SUM(base!AG197:AJ197)</f>
        <v>1</v>
      </c>
      <c r="K197" s="5" t="n">
        <f aca="false">IFERROR((base!AG197+base!AH197)/(base!K197+base!L197),0)</f>
        <v>0</v>
      </c>
      <c r="L197" s="5" t="n">
        <f aca="false">MAX(N(base!AI197),K197*N(base!M197))</f>
        <v>1</v>
      </c>
      <c r="M197" s="5" t="n">
        <f aca="false">MAX(N(base!AJ197),K197*N(base!N197))</f>
        <v>0</v>
      </c>
      <c r="N197" s="5" t="n">
        <f aca="false">base!AG197+base!AH197+L197+M197</f>
        <v>1</v>
      </c>
      <c r="O197" s="14" t="n">
        <f aca="false">N(base!T197)</f>
        <v>2</v>
      </c>
      <c r="P197" s="6" t="n">
        <f aca="false">IFERROR(J197/O197,0)</f>
        <v>0.5</v>
      </c>
      <c r="Q197" s="6" t="n">
        <f aca="false">IFERROR(N197/O197,0)</f>
        <v>0.5</v>
      </c>
      <c r="R197" s="6" t="n">
        <f aca="false">Parametros!$B$3*I197+Parametros!$B$4*P197</f>
        <v>0.15</v>
      </c>
      <c r="S197" s="6" t="n">
        <f aca="false">Parametros!$B$3*I197+Parametros!$B$4*Q197</f>
        <v>0.15</v>
      </c>
      <c r="T197" s="4" t="str">
        <f aca="false">IF(S197&lt;tablas!$C$3,"No activa",INDEX(tablas!$B$3:$B$8,MATCH(S197,tablas!$C$3:$C$8,1)))</f>
        <v>No activa</v>
      </c>
      <c r="U197" s="15" t="n">
        <f aca="false">IF(S197&lt;tablas!$C$3,0,INDEX(tablas!$D$3:$D$8,MATCH(S197,tablas!$C$3:$C$8,1)))</f>
        <v>0</v>
      </c>
      <c r="V197" s="16" t="n">
        <f aca="false">N(base!AQ197)</f>
        <v>600</v>
      </c>
      <c r="W197" s="7" t="n">
        <f aca="false">U197*V197</f>
        <v>0</v>
      </c>
      <c r="X197" s="4" t="str">
        <f aca="false">IF(R197&lt;tablas!$C$3,"No activa",INDEX(tablas!$B$3:$B$8,MATCH(R197,tablas!$C$3:$C$8,1)))</f>
        <v>No activa</v>
      </c>
      <c r="Y197" s="7" t="n">
        <f aca="false">IF(R197&lt;tablas!$C$3,0,INDEX(tablas!$D$3:$D$8,MATCH(R197,tablas!$C$3:$C$8,1)))*V197</f>
        <v>0</v>
      </c>
      <c r="Z197" s="4" t="str">
        <f aca="false">IF(S197&gt;=tablas!$C$3,"Activa",IF(S197&gt;=Parametros!$B$5,"Cerca","No activa"))</f>
        <v>No activa</v>
      </c>
      <c r="AA197" s="6" t="n">
        <f aca="false">MAX(0,tablas!$C$3-S197)</f>
        <v>0.65</v>
      </c>
    </row>
    <row r="198" customFormat="false" ht="15" hidden="false" customHeight="false" outlineLevel="0" collapsed="false">
      <c r="A198" s="14" t="str">
        <f aca="false">base!A198</f>
        <v>71058651-4</v>
      </c>
      <c r="B198" s="14" t="str">
        <f aca="false">base!E198</f>
        <v>Inbound Regular</v>
      </c>
      <c r="C198" s="14" t="str">
        <f aca="false">base!D198</f>
        <v>Inbound</v>
      </c>
      <c r="D198" s="14" t="str">
        <f aca="false">base!F198</f>
        <v>ANA CECILIA LEON CHACON</v>
      </c>
      <c r="E198" s="14" t="str">
        <f aca="false">base!G198</f>
        <v>JOSE ANGELATS AGREDA</v>
      </c>
      <c r="F198" s="14" t="n">
        <f aca="false">N(base!O198)</f>
        <v>1</v>
      </c>
      <c r="G198" s="4" t="n">
        <f aca="false">SUM(base!U198:AF198)+N(base!AK198)</f>
        <v>0</v>
      </c>
      <c r="H198" s="14" t="n">
        <f aca="false">N(base!S198)</f>
        <v>10</v>
      </c>
      <c r="I198" s="6" t="n">
        <f aca="false">IFERROR(G198/H198,0)</f>
        <v>0</v>
      </c>
      <c r="J198" s="4" t="n">
        <f aca="false">SUM(base!AG198:AJ198)</f>
        <v>3</v>
      </c>
      <c r="K198" s="5" t="n">
        <f aca="false">IFERROR((base!AG198+base!AH198)/(base!K198+base!L198),0)</f>
        <v>1.5</v>
      </c>
      <c r="L198" s="5" t="n">
        <f aca="false">MAX(N(base!AI198),K198*N(base!M198))</f>
        <v>1.5</v>
      </c>
      <c r="M198" s="5" t="n">
        <f aca="false">MAX(N(base!AJ198),K198*N(base!N198))</f>
        <v>1.5</v>
      </c>
      <c r="N198" s="5" t="n">
        <f aca="false">base!AG198+base!AH198+L198+M198</f>
        <v>6</v>
      </c>
      <c r="O198" s="14" t="n">
        <f aca="false">N(base!T198)</f>
        <v>5</v>
      </c>
      <c r="P198" s="6" t="n">
        <f aca="false">IFERROR(J198/O198,0)</f>
        <v>0.6</v>
      </c>
      <c r="Q198" s="6" t="n">
        <f aca="false">IFERROR(N198/O198,0)</f>
        <v>1.2</v>
      </c>
      <c r="R198" s="6" t="n">
        <f aca="false">Parametros!$B$3*I198+Parametros!$B$4*P198</f>
        <v>0.18</v>
      </c>
      <c r="S198" s="6" t="n">
        <f aca="false">Parametros!$B$3*I198+Parametros!$B$4*Q198</f>
        <v>0.36</v>
      </c>
      <c r="T198" s="4" t="str">
        <f aca="false">IF(S198&lt;tablas!$C$3,"No activa",INDEX(tablas!$B$3:$B$8,MATCH(S198,tablas!$C$3:$C$8,1)))</f>
        <v>No activa</v>
      </c>
      <c r="U198" s="15" t="n">
        <f aca="false">IF(S198&lt;tablas!$C$3,0,INDEX(tablas!$D$3:$D$8,MATCH(S198,tablas!$C$3:$C$8,1)))</f>
        <v>0</v>
      </c>
      <c r="V198" s="16" t="n">
        <f aca="false">N(base!AQ198)</f>
        <v>1200</v>
      </c>
      <c r="W198" s="7" t="n">
        <f aca="false">U198*V198</f>
        <v>0</v>
      </c>
      <c r="X198" s="4" t="str">
        <f aca="false">IF(R198&lt;tablas!$C$3,"No activa",INDEX(tablas!$B$3:$B$8,MATCH(R198,tablas!$C$3:$C$8,1)))</f>
        <v>No activa</v>
      </c>
      <c r="Y198" s="7" t="n">
        <f aca="false">IF(R198&lt;tablas!$C$3,0,INDEX(tablas!$D$3:$D$8,MATCH(R198,tablas!$C$3:$C$8,1)))*V198</f>
        <v>0</v>
      </c>
      <c r="Z198" s="4" t="str">
        <f aca="false">IF(S198&gt;=tablas!$C$3,"Activa",IF(S198&gt;=Parametros!$B$5,"Cerca","No activa"))</f>
        <v>No activa</v>
      </c>
      <c r="AA198" s="6" t="n">
        <f aca="false">MAX(0,tablas!$C$3-S198)</f>
        <v>0.44</v>
      </c>
    </row>
    <row r="199" customFormat="false" ht="15" hidden="false" customHeight="false" outlineLevel="0" collapsed="false">
      <c r="A199" s="14" t="str">
        <f aca="false">base!A199</f>
        <v>71210169-1</v>
      </c>
      <c r="B199" s="14" t="str">
        <f aca="false">base!E199</f>
        <v>Inbound Regular</v>
      </c>
      <c r="C199" s="14" t="str">
        <f aca="false">base!D199</f>
        <v>Inbound</v>
      </c>
      <c r="D199" s="14" t="str">
        <f aca="false">base!F199</f>
        <v>ANA CECILIA LEON CHACON</v>
      </c>
      <c r="E199" s="14" t="str">
        <f aca="false">base!G199</f>
        <v>JOSE ANGELATS AGREDA</v>
      </c>
      <c r="F199" s="14" t="n">
        <f aca="false">N(base!O199)</f>
        <v>1</v>
      </c>
      <c r="G199" s="4" t="n">
        <f aca="false">SUM(base!U199:AF199)+N(base!AK199)</f>
        <v>4</v>
      </c>
      <c r="H199" s="14" t="n">
        <f aca="false">N(base!S199)</f>
        <v>10</v>
      </c>
      <c r="I199" s="6" t="n">
        <f aca="false">IFERROR(G199/H199,0)</f>
        <v>0.4</v>
      </c>
      <c r="J199" s="4" t="n">
        <f aca="false">SUM(base!AG199:AJ199)</f>
        <v>2</v>
      </c>
      <c r="K199" s="5" t="n">
        <f aca="false">IFERROR((base!AG199+base!AH199)/(base!K199+base!L199),0)</f>
        <v>1</v>
      </c>
      <c r="L199" s="5" t="n">
        <f aca="false">MAX(N(base!AI199),K199*N(base!M199))</f>
        <v>1</v>
      </c>
      <c r="M199" s="5" t="n">
        <f aca="false">MAX(N(base!AJ199),K199*N(base!N199))</f>
        <v>1</v>
      </c>
      <c r="N199" s="5" t="n">
        <f aca="false">base!AG199+base!AH199+L199+M199</f>
        <v>4</v>
      </c>
      <c r="O199" s="14" t="n">
        <f aca="false">N(base!T199)</f>
        <v>4</v>
      </c>
      <c r="P199" s="6" t="n">
        <f aca="false">IFERROR(J199/O199,0)</f>
        <v>0.5</v>
      </c>
      <c r="Q199" s="6" t="n">
        <f aca="false">IFERROR(N199/O199,0)</f>
        <v>1</v>
      </c>
      <c r="R199" s="6" t="n">
        <f aca="false">Parametros!$B$3*I199+Parametros!$B$4*P199</f>
        <v>0.43</v>
      </c>
      <c r="S199" s="6" t="n">
        <f aca="false">Parametros!$B$3*I199+Parametros!$B$4*Q199</f>
        <v>0.58</v>
      </c>
      <c r="T199" s="4" t="str">
        <f aca="false">IF(S199&lt;tablas!$C$3,"No activa",INDEX(tablas!$B$3:$B$8,MATCH(S199,tablas!$C$3:$C$8,1)))</f>
        <v>No activa</v>
      </c>
      <c r="U199" s="15" t="n">
        <f aca="false">IF(S199&lt;tablas!$C$3,0,INDEX(tablas!$D$3:$D$8,MATCH(S199,tablas!$C$3:$C$8,1)))</f>
        <v>0</v>
      </c>
      <c r="V199" s="16" t="n">
        <f aca="false">N(base!AQ199)</f>
        <v>1200</v>
      </c>
      <c r="W199" s="7" t="n">
        <f aca="false">U199*V199</f>
        <v>0</v>
      </c>
      <c r="X199" s="4" t="str">
        <f aca="false">IF(R199&lt;tablas!$C$3,"No activa",INDEX(tablas!$B$3:$B$8,MATCH(R199,tablas!$C$3:$C$8,1)))</f>
        <v>No activa</v>
      </c>
      <c r="Y199" s="7" t="n">
        <f aca="false">IF(R199&lt;tablas!$C$3,0,INDEX(tablas!$D$3:$D$8,MATCH(R199,tablas!$C$3:$C$8,1)))*V199</f>
        <v>0</v>
      </c>
      <c r="Z199" s="4" t="str">
        <f aca="false">IF(S199&gt;=tablas!$C$3,"Activa",IF(S199&gt;=Parametros!$B$5,"Cerca","No activa"))</f>
        <v>No activa</v>
      </c>
      <c r="AA199" s="6" t="n">
        <f aca="false">MAX(0,tablas!$C$3-S199)</f>
        <v>0.22</v>
      </c>
    </row>
    <row r="200" customFormat="false" ht="15" hidden="false" customHeight="false" outlineLevel="0" collapsed="false">
      <c r="A200" s="14" t="str">
        <f aca="false">base!A200</f>
        <v>47464085-5</v>
      </c>
      <c r="B200" s="14" t="str">
        <f aca="false">base!E200</f>
        <v>Inbound Regular</v>
      </c>
      <c r="C200" s="14" t="str">
        <f aca="false">base!D200</f>
        <v>Inbound</v>
      </c>
      <c r="D200" s="14" t="str">
        <f aca="false">base!F200</f>
        <v>ANA CECILIA LEON CHACON</v>
      </c>
      <c r="E200" s="14" t="str">
        <f aca="false">base!G200</f>
        <v>JOSE ANGELATS AGREDA</v>
      </c>
      <c r="F200" s="14" t="n">
        <f aca="false">N(base!O200)</f>
        <v>0.5</v>
      </c>
      <c r="G200" s="4" t="n">
        <f aca="false">SUM(base!U200:AF200)+N(base!AK200)</f>
        <v>1</v>
      </c>
      <c r="H200" s="14" t="n">
        <f aca="false">N(base!S200)</f>
        <v>5</v>
      </c>
      <c r="I200" s="6" t="n">
        <f aca="false">IFERROR(G200/H200,0)</f>
        <v>0.2</v>
      </c>
      <c r="J200" s="4" t="n">
        <f aca="false">SUM(base!AG200:AJ200)</f>
        <v>2</v>
      </c>
      <c r="K200" s="5" t="n">
        <f aca="false">IFERROR((base!AG200+base!AH200)/(base!K200+base!L200),0)</f>
        <v>1</v>
      </c>
      <c r="L200" s="5" t="n">
        <f aca="false">MAX(N(base!AI200),K200*N(base!M200))</f>
        <v>0</v>
      </c>
      <c r="M200" s="5" t="n">
        <f aca="false">MAX(N(base!AJ200),K200*N(base!N200))</f>
        <v>0</v>
      </c>
      <c r="N200" s="5" t="n">
        <f aca="false">base!AG200+base!AH200+L200+M200</f>
        <v>2</v>
      </c>
      <c r="O200" s="14" t="n">
        <f aca="false">N(base!T200)</f>
        <v>2</v>
      </c>
      <c r="P200" s="6" t="n">
        <f aca="false">IFERROR(J200/O200,0)</f>
        <v>1</v>
      </c>
      <c r="Q200" s="6" t="n">
        <f aca="false">IFERROR(N200/O200,0)</f>
        <v>1</v>
      </c>
      <c r="R200" s="6" t="n">
        <f aca="false">Parametros!$B$3*I200+Parametros!$B$4*P200</f>
        <v>0.44</v>
      </c>
      <c r="S200" s="6" t="n">
        <f aca="false">Parametros!$B$3*I200+Parametros!$B$4*Q200</f>
        <v>0.44</v>
      </c>
      <c r="T200" s="4" t="str">
        <f aca="false">IF(S200&lt;tablas!$C$3,"No activa",INDEX(tablas!$B$3:$B$8,MATCH(S200,tablas!$C$3:$C$8,1)))</f>
        <v>No activa</v>
      </c>
      <c r="U200" s="15" t="n">
        <f aca="false">IF(S200&lt;tablas!$C$3,0,INDEX(tablas!$D$3:$D$8,MATCH(S200,tablas!$C$3:$C$8,1)))</f>
        <v>0</v>
      </c>
      <c r="V200" s="16" t="n">
        <f aca="false">N(base!AQ200)</f>
        <v>600</v>
      </c>
      <c r="W200" s="7" t="n">
        <f aca="false">U200*V200</f>
        <v>0</v>
      </c>
      <c r="X200" s="4" t="str">
        <f aca="false">IF(R200&lt;tablas!$C$3,"No activa",INDEX(tablas!$B$3:$B$8,MATCH(R200,tablas!$C$3:$C$8,1)))</f>
        <v>No activa</v>
      </c>
      <c r="Y200" s="7" t="n">
        <f aca="false">IF(R200&lt;tablas!$C$3,0,INDEX(tablas!$D$3:$D$8,MATCH(R200,tablas!$C$3:$C$8,1)))*V200</f>
        <v>0</v>
      </c>
      <c r="Z200" s="4" t="str">
        <f aca="false">IF(S200&gt;=tablas!$C$3,"Activa",IF(S200&gt;=Parametros!$B$5,"Cerca","No activa"))</f>
        <v>No activa</v>
      </c>
      <c r="AA200" s="6" t="n">
        <f aca="false">MAX(0,tablas!$C$3-S200)</f>
        <v>0.36</v>
      </c>
    </row>
    <row r="201" customFormat="false" ht="15" hidden="false" customHeight="false" outlineLevel="0" collapsed="false">
      <c r="A201" s="14" t="str">
        <f aca="false">base!A201</f>
        <v>74983088-9</v>
      </c>
      <c r="B201" s="14" t="str">
        <f aca="false">base!E201</f>
        <v>Inbound Regular</v>
      </c>
      <c r="C201" s="14" t="str">
        <f aca="false">base!D201</f>
        <v>Inbound</v>
      </c>
      <c r="D201" s="14" t="str">
        <f aca="false">base!F201</f>
        <v>ANA CECILIA LEON CHACON</v>
      </c>
      <c r="E201" s="14" t="str">
        <f aca="false">base!G201</f>
        <v>JOSE ANGELATS AGREDA</v>
      </c>
      <c r="F201" s="14" t="n">
        <f aca="false">N(base!O201)</f>
        <v>0.5</v>
      </c>
      <c r="G201" s="4" t="n">
        <f aca="false">SUM(base!U201:AF201)+N(base!AK201)</f>
        <v>0</v>
      </c>
      <c r="H201" s="14" t="n">
        <f aca="false">N(base!S201)</f>
        <v>5</v>
      </c>
      <c r="I201" s="6" t="n">
        <f aca="false">IFERROR(G201/H201,0)</f>
        <v>0</v>
      </c>
      <c r="J201" s="4" t="n">
        <f aca="false">SUM(base!AG201:AJ201)</f>
        <v>0</v>
      </c>
      <c r="K201" s="5" t="n">
        <f aca="false">IFERROR((base!AG201+base!AH201)/(base!K201+base!L201),0)</f>
        <v>0</v>
      </c>
      <c r="L201" s="5" t="n">
        <f aca="false">MAX(N(base!AI201),K201*N(base!M201))</f>
        <v>0</v>
      </c>
      <c r="M201" s="5" t="n">
        <f aca="false">MAX(N(base!AJ201),K201*N(base!N201))</f>
        <v>0</v>
      </c>
      <c r="N201" s="5" t="n">
        <f aca="false">base!AG201+base!AH201+L201+M201</f>
        <v>0</v>
      </c>
      <c r="O201" s="14" t="n">
        <f aca="false">N(base!T201)</f>
        <v>2</v>
      </c>
      <c r="P201" s="6" t="n">
        <f aca="false">IFERROR(J201/O201,0)</f>
        <v>0</v>
      </c>
      <c r="Q201" s="6" t="n">
        <f aca="false">IFERROR(N201/O201,0)</f>
        <v>0</v>
      </c>
      <c r="R201" s="6" t="n">
        <f aca="false">Parametros!$B$3*I201+Parametros!$B$4*P201</f>
        <v>0</v>
      </c>
      <c r="S201" s="6" t="n">
        <f aca="false">Parametros!$B$3*I201+Parametros!$B$4*Q201</f>
        <v>0</v>
      </c>
      <c r="T201" s="4" t="str">
        <f aca="false">IF(S201&lt;tablas!$C$3,"No activa",INDEX(tablas!$B$3:$B$8,MATCH(S201,tablas!$C$3:$C$8,1)))</f>
        <v>No activa</v>
      </c>
      <c r="U201" s="15" t="n">
        <f aca="false">IF(S201&lt;tablas!$C$3,0,INDEX(tablas!$D$3:$D$8,MATCH(S201,tablas!$C$3:$C$8,1)))</f>
        <v>0</v>
      </c>
      <c r="V201" s="16" t="n">
        <f aca="false">N(base!AQ201)</f>
        <v>600</v>
      </c>
      <c r="W201" s="7" t="n">
        <f aca="false">U201*V201</f>
        <v>0</v>
      </c>
      <c r="X201" s="4" t="str">
        <f aca="false">IF(R201&lt;tablas!$C$3,"No activa",INDEX(tablas!$B$3:$B$8,MATCH(R201,tablas!$C$3:$C$8,1)))</f>
        <v>No activa</v>
      </c>
      <c r="Y201" s="7" t="n">
        <f aca="false">IF(R201&lt;tablas!$C$3,0,INDEX(tablas!$D$3:$D$8,MATCH(R201,tablas!$C$3:$C$8,1)))*V201</f>
        <v>0</v>
      </c>
      <c r="Z201" s="4" t="str">
        <f aca="false">IF(S201&gt;=tablas!$C$3,"Activa",IF(S201&gt;=Parametros!$B$5,"Cerca","No activa"))</f>
        <v>No activa</v>
      </c>
      <c r="AA201" s="6" t="n">
        <f aca="false">MAX(0,tablas!$C$3-S201)</f>
        <v>0.8</v>
      </c>
    </row>
    <row r="202" customFormat="false" ht="15" hidden="false" customHeight="false" outlineLevel="0" collapsed="false">
      <c r="A202" s="14" t="str">
        <f aca="false">base!A202</f>
        <v>70039014-0</v>
      </c>
      <c r="B202" s="14" t="str">
        <f aca="false">base!E202</f>
        <v>Inbound Regular</v>
      </c>
      <c r="C202" s="14" t="str">
        <f aca="false">base!D202</f>
        <v>Inbound</v>
      </c>
      <c r="D202" s="14" t="str">
        <f aca="false">base!F202</f>
        <v>ANA CECILIA LEON CHACON</v>
      </c>
      <c r="E202" s="14" t="str">
        <f aca="false">base!G202</f>
        <v>JOSE ANGELATS AGREDA</v>
      </c>
      <c r="F202" s="14" t="n">
        <f aca="false">N(base!O202)</f>
        <v>0.5</v>
      </c>
      <c r="G202" s="4" t="n">
        <f aca="false">SUM(base!U202:AF202)+N(base!AK202)</f>
        <v>2</v>
      </c>
      <c r="H202" s="14" t="n">
        <f aca="false">N(base!S202)</f>
        <v>5</v>
      </c>
      <c r="I202" s="6" t="n">
        <f aca="false">IFERROR(G202/H202,0)</f>
        <v>0.4</v>
      </c>
      <c r="J202" s="4" t="n">
        <f aca="false">SUM(base!AG202:AJ202)</f>
        <v>7</v>
      </c>
      <c r="K202" s="5" t="n">
        <f aca="false">IFERROR((base!AG202+base!AH202)/(base!K202+base!L202),0)</f>
        <v>3.5</v>
      </c>
      <c r="L202" s="5" t="n">
        <f aca="false">MAX(N(base!AI202),K202*N(base!M202))</f>
        <v>0</v>
      </c>
      <c r="M202" s="5" t="n">
        <f aca="false">MAX(N(base!AJ202),K202*N(base!N202))</f>
        <v>0</v>
      </c>
      <c r="N202" s="5" t="n">
        <f aca="false">base!AG202+base!AH202+L202+M202</f>
        <v>7</v>
      </c>
      <c r="O202" s="14" t="n">
        <f aca="false">N(base!T202)</f>
        <v>3</v>
      </c>
      <c r="P202" s="6" t="n">
        <f aca="false">IFERROR(J202/O202,0)</f>
        <v>2.33333333333333</v>
      </c>
      <c r="Q202" s="6" t="n">
        <f aca="false">IFERROR(N202/O202,0)</f>
        <v>2.33333333333333</v>
      </c>
      <c r="R202" s="6" t="n">
        <f aca="false">Parametros!$B$3*I202+Parametros!$B$4*P202</f>
        <v>0.98</v>
      </c>
      <c r="S202" s="6" t="n">
        <f aca="false">Parametros!$B$3*I202+Parametros!$B$4*Q202</f>
        <v>0.98</v>
      </c>
      <c r="T202" s="4" t="str">
        <f aca="false">IF(S202&lt;tablas!$C$3,"No activa",INDEX(tablas!$B$3:$B$8,MATCH(S202,tablas!$C$3:$C$8,1)))</f>
        <v>N2</v>
      </c>
      <c r="U202" s="15" t="n">
        <f aca="false">IF(S202&lt;tablas!$C$3,0,INDEX(tablas!$D$3:$D$8,MATCH(S202,tablas!$C$3:$C$8,1)))</f>
        <v>0.9</v>
      </c>
      <c r="V202" s="16" t="n">
        <f aca="false">N(base!AQ202)</f>
        <v>600</v>
      </c>
      <c r="W202" s="7" t="n">
        <f aca="false">U202*V202</f>
        <v>540</v>
      </c>
      <c r="X202" s="4" t="str">
        <f aca="false">IF(R202&lt;tablas!$C$3,"No activa",INDEX(tablas!$B$3:$B$8,MATCH(R202,tablas!$C$3:$C$8,1)))</f>
        <v>N2</v>
      </c>
      <c r="Y202" s="7" t="n">
        <f aca="false">IF(R202&lt;tablas!$C$3,0,INDEX(tablas!$D$3:$D$8,MATCH(R202,tablas!$C$3:$C$8,1)))*V202</f>
        <v>540</v>
      </c>
      <c r="Z202" s="4" t="str">
        <f aca="false">IF(S202&gt;=tablas!$C$3,"Activa",IF(S202&gt;=Parametros!$B$5,"Cerca","No activa"))</f>
        <v>Activa</v>
      </c>
      <c r="AA202" s="6" t="n">
        <f aca="false">MAX(0,tablas!$C$3-S202)</f>
        <v>0</v>
      </c>
    </row>
    <row r="203" customFormat="false" ht="15" hidden="false" customHeight="false" outlineLevel="0" collapsed="false">
      <c r="A203" s="14" t="str">
        <f aca="false">base!A203</f>
        <v>42040059-0</v>
      </c>
      <c r="B203" s="14" t="str">
        <f aca="false">base!E203</f>
        <v>Counter</v>
      </c>
      <c r="C203" s="14" t="str">
        <f aca="false">base!D203</f>
        <v>Counter</v>
      </c>
      <c r="D203" s="14" t="str">
        <f aca="false">base!F203</f>
        <v>DELIA LEON RUIDIAS</v>
      </c>
      <c r="E203" s="14" t="str">
        <f aca="false">base!G203</f>
        <v>JOSE ANGELATS AGREDA</v>
      </c>
      <c r="F203" s="14" t="n">
        <f aca="false">N(base!O203)</f>
        <v>1</v>
      </c>
      <c r="G203" s="4" t="n">
        <f aca="false">SUM(base!U203:AF203)+N(base!AK203)</f>
        <v>12</v>
      </c>
      <c r="H203" s="14" t="n">
        <f aca="false">N(base!S203)</f>
        <v>14</v>
      </c>
      <c r="I203" s="6" t="n">
        <f aca="false">IFERROR(G203/H203,0)</f>
        <v>0.857142857142857</v>
      </c>
      <c r="J203" s="4" t="n">
        <f aca="false">SUM(base!AG203:AJ203)</f>
        <v>0</v>
      </c>
      <c r="K203" s="5" t="n">
        <f aca="false">IFERROR((base!AG203+base!AH203)/(base!K203+base!L203),0)</f>
        <v>0</v>
      </c>
      <c r="L203" s="5" t="n">
        <f aca="false">MAX(N(base!AI203),K203*N(base!M203))</f>
        <v>0</v>
      </c>
      <c r="M203" s="5" t="n">
        <f aca="false">MAX(N(base!AJ203),K203*N(base!N203))</f>
        <v>0</v>
      </c>
      <c r="N203" s="5" t="n">
        <f aca="false">base!AG203+base!AH203+L203+M203</f>
        <v>0</v>
      </c>
      <c r="O203" s="14" t="n">
        <f aca="false">N(base!T203)</f>
        <v>2</v>
      </c>
      <c r="P203" s="6" t="n">
        <f aca="false">IFERROR(J203/O203,0)</f>
        <v>0</v>
      </c>
      <c r="Q203" s="6" t="n">
        <f aca="false">IFERROR(N203/O203,0)</f>
        <v>0</v>
      </c>
      <c r="R203" s="6" t="n">
        <f aca="false">Parametros!$B$3*I203+Parametros!$B$4*P203</f>
        <v>0.6</v>
      </c>
      <c r="S203" s="6" t="n">
        <f aca="false">Parametros!$B$3*I203+Parametros!$B$4*Q203</f>
        <v>0.6</v>
      </c>
      <c r="T203" s="4" t="str">
        <f aca="false">IF(S203&lt;tablas!$C$3,"No activa",INDEX(tablas!$B$3:$B$8,MATCH(S203,tablas!$C$3:$C$8,1)))</f>
        <v>No activa</v>
      </c>
      <c r="U203" s="15" t="n">
        <f aca="false">IF(S203&lt;tablas!$C$3,0,INDEX(tablas!$D$3:$D$8,MATCH(S203,tablas!$C$3:$C$8,1)))</f>
        <v>0</v>
      </c>
      <c r="V203" s="16" t="n">
        <f aca="false">N(base!AQ203)</f>
        <v>1200</v>
      </c>
      <c r="W203" s="7" t="n">
        <f aca="false">U203*V203</f>
        <v>0</v>
      </c>
      <c r="X203" s="4" t="str">
        <f aca="false">IF(R203&lt;tablas!$C$3,"No activa",INDEX(tablas!$B$3:$B$8,MATCH(R203,tablas!$C$3:$C$8,1)))</f>
        <v>No activa</v>
      </c>
      <c r="Y203" s="7" t="n">
        <f aca="false">IF(R203&lt;tablas!$C$3,0,INDEX(tablas!$D$3:$D$8,MATCH(R203,tablas!$C$3:$C$8,1)))*V203</f>
        <v>0</v>
      </c>
      <c r="Z203" s="4" t="str">
        <f aca="false">IF(S203&gt;=tablas!$C$3,"Activa",IF(S203&gt;=Parametros!$B$5,"Cerca","No activa"))</f>
        <v>No activa</v>
      </c>
      <c r="AA203" s="6" t="n">
        <f aca="false">MAX(0,tablas!$C$3-S203)</f>
        <v>0.2</v>
      </c>
    </row>
    <row r="204" customFormat="false" ht="15" hidden="false" customHeight="false" outlineLevel="0" collapsed="false">
      <c r="A204" s="14" t="str">
        <f aca="false">base!A204</f>
        <v>60768630-6</v>
      </c>
      <c r="B204" s="14" t="str">
        <f aca="false">base!E204</f>
        <v>Counter</v>
      </c>
      <c r="C204" s="14" t="str">
        <f aca="false">base!D204</f>
        <v>Counter</v>
      </c>
      <c r="D204" s="14" t="str">
        <f aca="false">base!F204</f>
        <v>DELIA LEON RUIDIAS</v>
      </c>
      <c r="E204" s="14" t="str">
        <f aca="false">base!G204</f>
        <v>JOSE ANGELATS AGREDA</v>
      </c>
      <c r="F204" s="14" t="n">
        <f aca="false">N(base!O204)</f>
        <v>0.75</v>
      </c>
      <c r="G204" s="4" t="n">
        <f aca="false">SUM(base!U204:AF204)+N(base!AK204)</f>
        <v>19</v>
      </c>
      <c r="H204" s="14" t="n">
        <f aca="false">N(base!S204)</f>
        <v>11</v>
      </c>
      <c r="I204" s="6" t="n">
        <f aca="false">IFERROR(G204/H204,0)</f>
        <v>1.72727272727273</v>
      </c>
      <c r="J204" s="4" t="n">
        <f aca="false">SUM(base!AG204:AJ204)</f>
        <v>0</v>
      </c>
      <c r="K204" s="5" t="n">
        <f aca="false">IFERROR((base!AG204+base!AH204)/(base!K204+base!L204),0)</f>
        <v>0</v>
      </c>
      <c r="L204" s="5" t="n">
        <f aca="false">MAX(N(base!AI204),K204*N(base!M204))</f>
        <v>0</v>
      </c>
      <c r="M204" s="5" t="n">
        <f aca="false">MAX(N(base!AJ204),K204*N(base!N204))</f>
        <v>0</v>
      </c>
      <c r="N204" s="5" t="n">
        <f aca="false">base!AG204+base!AH204+L204+M204</f>
        <v>0</v>
      </c>
      <c r="O204" s="14" t="n">
        <f aca="false">N(base!T204)</f>
        <v>4</v>
      </c>
      <c r="P204" s="6" t="n">
        <f aca="false">IFERROR(J204/O204,0)</f>
        <v>0</v>
      </c>
      <c r="Q204" s="6" t="n">
        <f aca="false">IFERROR(N204/O204,0)</f>
        <v>0</v>
      </c>
      <c r="R204" s="6" t="n">
        <f aca="false">Parametros!$B$3*I204+Parametros!$B$4*P204</f>
        <v>1.20909090909091</v>
      </c>
      <c r="S204" s="6" t="n">
        <f aca="false">Parametros!$B$3*I204+Parametros!$B$4*Q204</f>
        <v>1.20909090909091</v>
      </c>
      <c r="T204" s="4" t="str">
        <f aca="false">IF(S204&lt;tablas!$C$3,"No activa",INDEX(tablas!$B$3:$B$8,MATCH(S204,tablas!$C$3:$C$8,1)))</f>
        <v>N5</v>
      </c>
      <c r="U204" s="15" t="n">
        <f aca="false">IF(S204&lt;tablas!$C$3,0,INDEX(tablas!$D$3:$D$8,MATCH(S204,tablas!$C$3:$C$8,1)))</f>
        <v>1.5</v>
      </c>
      <c r="V204" s="16" t="n">
        <f aca="false">N(base!AQ204)</f>
        <v>900</v>
      </c>
      <c r="W204" s="7" t="n">
        <f aca="false">U204*V204</f>
        <v>1350</v>
      </c>
      <c r="X204" s="4" t="str">
        <f aca="false">IF(R204&lt;tablas!$C$3,"No activa",INDEX(tablas!$B$3:$B$8,MATCH(R204,tablas!$C$3:$C$8,1)))</f>
        <v>N5</v>
      </c>
      <c r="Y204" s="7" t="n">
        <f aca="false">IF(R204&lt;tablas!$C$3,0,INDEX(tablas!$D$3:$D$8,MATCH(R204,tablas!$C$3:$C$8,1)))*V204</f>
        <v>1350</v>
      </c>
      <c r="Z204" s="4" t="str">
        <f aca="false">IF(S204&gt;=tablas!$C$3,"Activa",IF(S204&gt;=Parametros!$B$5,"Cerca","No activa"))</f>
        <v>Activa</v>
      </c>
      <c r="AA204" s="6" t="n">
        <f aca="false">MAX(0,tablas!$C$3-S204)</f>
        <v>0</v>
      </c>
    </row>
    <row r="205" customFormat="false" ht="15" hidden="false" customHeight="false" outlineLevel="0" collapsed="false">
      <c r="A205" s="14" t="str">
        <f aca="false">base!A205</f>
        <v>72402384-9</v>
      </c>
      <c r="B205" s="14" t="str">
        <f aca="false">base!E205</f>
        <v>Counter</v>
      </c>
      <c r="C205" s="14" t="str">
        <f aca="false">base!D205</f>
        <v>Counter</v>
      </c>
      <c r="D205" s="14" t="str">
        <f aca="false">base!F205</f>
        <v>DELIA LEON RUIDIAS</v>
      </c>
      <c r="E205" s="14" t="str">
        <f aca="false">base!G205</f>
        <v>JOSE ANGELATS AGREDA</v>
      </c>
      <c r="F205" s="14" t="n">
        <f aca="false">N(base!O205)</f>
        <v>0</v>
      </c>
      <c r="G205" s="4" t="n">
        <f aca="false">SUM(base!U205:AF205)+N(base!AK205)</f>
        <v>0</v>
      </c>
      <c r="H205" s="14" t="n">
        <f aca="false">N(base!S205)</f>
        <v>0</v>
      </c>
      <c r="I205" s="6" t="n">
        <f aca="false">IFERROR(G205/H205,0)</f>
        <v>0</v>
      </c>
      <c r="J205" s="4" t="n">
        <f aca="false">SUM(base!AG205:AJ205)</f>
        <v>0</v>
      </c>
      <c r="K205" s="5" t="n">
        <f aca="false">IFERROR((base!AG205+base!AH205)/(base!K205+base!L205),0)</f>
        <v>0</v>
      </c>
      <c r="L205" s="5" t="n">
        <f aca="false">MAX(N(base!AI205),K205*N(base!M205))</f>
        <v>0</v>
      </c>
      <c r="M205" s="5" t="n">
        <f aca="false">MAX(N(base!AJ205),K205*N(base!N205))</f>
        <v>0</v>
      </c>
      <c r="N205" s="5" t="n">
        <f aca="false">base!AG205+base!AH205+L205+M205</f>
        <v>0</v>
      </c>
      <c r="O205" s="14" t="n">
        <f aca="false">N(base!T205)</f>
        <v>0</v>
      </c>
      <c r="P205" s="6" t="n">
        <f aca="false">IFERROR(J205/O205,0)</f>
        <v>0</v>
      </c>
      <c r="Q205" s="6" t="n">
        <f aca="false">IFERROR(N205/O205,0)</f>
        <v>0</v>
      </c>
      <c r="R205" s="6" t="n">
        <f aca="false">Parametros!$B$3*I205+Parametros!$B$4*P205</f>
        <v>0</v>
      </c>
      <c r="S205" s="6" t="n">
        <f aca="false">Parametros!$B$3*I205+Parametros!$B$4*Q205</f>
        <v>0</v>
      </c>
      <c r="T205" s="4" t="str">
        <f aca="false">IF(S205&lt;tablas!$C$3,"No activa",INDEX(tablas!$B$3:$B$8,MATCH(S205,tablas!$C$3:$C$8,1)))</f>
        <v>No activa</v>
      </c>
      <c r="U205" s="15" t="n">
        <f aca="false">IF(S205&lt;tablas!$C$3,0,INDEX(tablas!$D$3:$D$8,MATCH(S205,tablas!$C$3:$C$8,1)))</f>
        <v>0</v>
      </c>
      <c r="V205" s="16" t="n">
        <f aca="false">N(base!AQ205)</f>
        <v>0</v>
      </c>
      <c r="W205" s="7" t="n">
        <f aca="false">U205*V205</f>
        <v>0</v>
      </c>
      <c r="X205" s="4" t="str">
        <f aca="false">IF(R205&lt;tablas!$C$3,"No activa",INDEX(tablas!$B$3:$B$8,MATCH(R205,tablas!$C$3:$C$8,1)))</f>
        <v>No activa</v>
      </c>
      <c r="Y205" s="7" t="n">
        <f aca="false">IF(R205&lt;tablas!$C$3,0,INDEX(tablas!$D$3:$D$8,MATCH(R205,tablas!$C$3:$C$8,1)))*V205</f>
        <v>0</v>
      </c>
      <c r="Z205" s="4" t="str">
        <f aca="false">IF(S205&gt;=tablas!$C$3,"Activa",IF(S205&gt;=Parametros!$B$5,"Cerca","No activa"))</f>
        <v>No activa</v>
      </c>
      <c r="AA205" s="6" t="n">
        <f aca="false">MAX(0,tablas!$C$3-S205)</f>
        <v>0.8</v>
      </c>
    </row>
    <row r="206" customFormat="false" ht="15" hidden="false" customHeight="false" outlineLevel="0" collapsed="false">
      <c r="A206" s="14" t="str">
        <f aca="false">base!A206</f>
        <v>70682386-2</v>
      </c>
      <c r="B206" s="14" t="str">
        <f aca="false">base!E206</f>
        <v>Counter</v>
      </c>
      <c r="C206" s="14" t="str">
        <f aca="false">base!D206</f>
        <v>Counter</v>
      </c>
      <c r="D206" s="14" t="str">
        <f aca="false">base!F206</f>
        <v>DELIA LEON RUIDIAS</v>
      </c>
      <c r="E206" s="14" t="str">
        <f aca="false">base!G206</f>
        <v>JOSE ANGELATS AGREDA</v>
      </c>
      <c r="F206" s="14" t="n">
        <f aca="false">N(base!O206)</f>
        <v>0.75</v>
      </c>
      <c r="G206" s="4" t="n">
        <f aca="false">SUM(base!U206:AF206)+N(base!AK206)</f>
        <v>0</v>
      </c>
      <c r="H206" s="14" t="n">
        <f aca="false">N(base!S206)</f>
        <v>11</v>
      </c>
      <c r="I206" s="6" t="n">
        <f aca="false">IFERROR(G206/H206,0)</f>
        <v>0</v>
      </c>
      <c r="J206" s="4" t="n">
        <f aca="false">SUM(base!AG206:AJ206)</f>
        <v>0</v>
      </c>
      <c r="K206" s="5" t="n">
        <f aca="false">IFERROR((base!AG206+base!AH206)/(base!K206+base!L206),0)</f>
        <v>0</v>
      </c>
      <c r="L206" s="5" t="n">
        <f aca="false">MAX(N(base!AI206),K206*N(base!M206))</f>
        <v>0</v>
      </c>
      <c r="M206" s="5" t="n">
        <f aca="false">MAX(N(base!AJ206),K206*N(base!N206))</f>
        <v>0</v>
      </c>
      <c r="N206" s="5" t="n">
        <f aca="false">base!AG206+base!AH206+L206+M206</f>
        <v>0</v>
      </c>
      <c r="O206" s="14" t="n">
        <f aca="false">N(base!T206)</f>
        <v>5</v>
      </c>
      <c r="P206" s="6" t="n">
        <f aca="false">IFERROR(J206/O206,0)</f>
        <v>0</v>
      </c>
      <c r="Q206" s="6" t="n">
        <f aca="false">IFERROR(N206/O206,0)</f>
        <v>0</v>
      </c>
      <c r="R206" s="6" t="n">
        <f aca="false">Parametros!$B$3*I206+Parametros!$B$4*P206</f>
        <v>0</v>
      </c>
      <c r="S206" s="6" t="n">
        <f aca="false">Parametros!$B$3*I206+Parametros!$B$4*Q206</f>
        <v>0</v>
      </c>
      <c r="T206" s="4" t="str">
        <f aca="false">IF(S206&lt;tablas!$C$3,"No activa",INDEX(tablas!$B$3:$B$8,MATCH(S206,tablas!$C$3:$C$8,1)))</f>
        <v>No activa</v>
      </c>
      <c r="U206" s="15" t="n">
        <f aca="false">IF(S206&lt;tablas!$C$3,0,INDEX(tablas!$D$3:$D$8,MATCH(S206,tablas!$C$3:$C$8,1)))</f>
        <v>0</v>
      </c>
      <c r="V206" s="16" t="n">
        <f aca="false">N(base!AQ206)</f>
        <v>845</v>
      </c>
      <c r="W206" s="7" t="n">
        <f aca="false">U206*V206</f>
        <v>0</v>
      </c>
      <c r="X206" s="4" t="str">
        <f aca="false">IF(R206&lt;tablas!$C$3,"No activa",INDEX(tablas!$B$3:$B$8,MATCH(R206,tablas!$C$3:$C$8,1)))</f>
        <v>No activa</v>
      </c>
      <c r="Y206" s="7" t="n">
        <f aca="false">IF(R206&lt;tablas!$C$3,0,INDEX(tablas!$D$3:$D$8,MATCH(R206,tablas!$C$3:$C$8,1)))*V206</f>
        <v>0</v>
      </c>
      <c r="Z206" s="4" t="str">
        <f aca="false">IF(S206&gt;=tablas!$C$3,"Activa",IF(S206&gt;=Parametros!$B$5,"Cerca","No activa"))</f>
        <v>No activa</v>
      </c>
      <c r="AA206" s="6" t="n">
        <f aca="false">MAX(0,tablas!$C$3-S206)</f>
        <v>0.8</v>
      </c>
    </row>
    <row r="207" customFormat="false" ht="15" hidden="false" customHeight="false" outlineLevel="0" collapsed="false">
      <c r="A207" s="14" t="str">
        <f aca="false">base!A207</f>
        <v>72235485-6</v>
      </c>
      <c r="B207" s="14" t="str">
        <f aca="false">base!E207</f>
        <v>Counter</v>
      </c>
      <c r="C207" s="14" t="str">
        <f aca="false">base!D207</f>
        <v>Counter</v>
      </c>
      <c r="D207" s="14" t="str">
        <f aca="false">base!F207</f>
        <v>DELIA LEON RUIDIAS</v>
      </c>
      <c r="E207" s="14" t="str">
        <f aca="false">base!G207</f>
        <v>JOSE ANGELATS AGREDA</v>
      </c>
      <c r="F207" s="14" t="n">
        <f aca="false">N(base!O207)</f>
        <v>1</v>
      </c>
      <c r="G207" s="4" t="n">
        <f aca="false">SUM(base!U207:AF207)+N(base!AK207)</f>
        <v>16</v>
      </c>
      <c r="H207" s="14" t="n">
        <f aca="false">N(base!S207)</f>
        <v>14</v>
      </c>
      <c r="I207" s="6" t="n">
        <f aca="false">IFERROR(G207/H207,0)</f>
        <v>1.14285714285714</v>
      </c>
      <c r="J207" s="4" t="n">
        <f aca="false">SUM(base!AG207:AJ207)</f>
        <v>2</v>
      </c>
      <c r="K207" s="5" t="n">
        <f aca="false">IFERROR((base!AG207+base!AH207)/(base!K207+base!L207),0)</f>
        <v>1</v>
      </c>
      <c r="L207" s="5" t="n">
        <f aca="false">MAX(N(base!AI207),K207*N(base!M207))</f>
        <v>1</v>
      </c>
      <c r="M207" s="5" t="n">
        <f aca="false">MAX(N(base!AJ207),K207*N(base!N207))</f>
        <v>1</v>
      </c>
      <c r="N207" s="5" t="n">
        <f aca="false">base!AG207+base!AH207+L207+M207</f>
        <v>4</v>
      </c>
      <c r="O207" s="14" t="n">
        <f aca="false">N(base!T207)</f>
        <v>5</v>
      </c>
      <c r="P207" s="6" t="n">
        <f aca="false">IFERROR(J207/O207,0)</f>
        <v>0.4</v>
      </c>
      <c r="Q207" s="6" t="n">
        <f aca="false">IFERROR(N207/O207,0)</f>
        <v>0.8</v>
      </c>
      <c r="R207" s="6" t="n">
        <f aca="false">Parametros!$B$3*I207+Parametros!$B$4*P207</f>
        <v>0.92</v>
      </c>
      <c r="S207" s="6" t="n">
        <f aca="false">Parametros!$B$3*I207+Parametros!$B$4*Q207</f>
        <v>1.04</v>
      </c>
      <c r="T207" s="4" t="str">
        <f aca="false">IF(S207&lt;tablas!$C$3,"No activa",INDEX(tablas!$B$3:$B$8,MATCH(S207,tablas!$C$3:$C$8,1)))</f>
        <v>N3</v>
      </c>
      <c r="U207" s="15" t="n">
        <f aca="false">IF(S207&lt;tablas!$C$3,0,INDEX(tablas!$D$3:$D$8,MATCH(S207,tablas!$C$3:$C$8,1)))</f>
        <v>1</v>
      </c>
      <c r="V207" s="16" t="n">
        <f aca="false">N(base!AQ207)</f>
        <v>1200</v>
      </c>
      <c r="W207" s="7" t="n">
        <f aca="false">U207*V207</f>
        <v>1200</v>
      </c>
      <c r="X207" s="4" t="str">
        <f aca="false">IF(R207&lt;tablas!$C$3,"No activa",INDEX(tablas!$B$3:$B$8,MATCH(R207,tablas!$C$3:$C$8,1)))</f>
        <v>N2</v>
      </c>
      <c r="Y207" s="7" t="n">
        <f aca="false">IF(R207&lt;tablas!$C$3,0,INDEX(tablas!$D$3:$D$8,MATCH(R207,tablas!$C$3:$C$8,1)))*V207</f>
        <v>1080</v>
      </c>
      <c r="Z207" s="4" t="str">
        <f aca="false">IF(S207&gt;=tablas!$C$3,"Activa",IF(S207&gt;=Parametros!$B$5,"Cerca","No activa"))</f>
        <v>Activa</v>
      </c>
      <c r="AA207" s="6" t="n">
        <f aca="false">MAX(0,tablas!$C$3-S207)</f>
        <v>0</v>
      </c>
    </row>
    <row r="208" customFormat="false" ht="15" hidden="false" customHeight="false" outlineLevel="0" collapsed="false">
      <c r="A208" s="14" t="str">
        <f aca="false">base!A208</f>
        <v>70525424-4</v>
      </c>
      <c r="B208" s="14" t="str">
        <f aca="false">base!E208</f>
        <v>Counter</v>
      </c>
      <c r="C208" s="14" t="str">
        <f aca="false">base!D208</f>
        <v>Counter</v>
      </c>
      <c r="D208" s="14" t="str">
        <f aca="false">base!F208</f>
        <v>DELIA LEON RUIDIAS</v>
      </c>
      <c r="E208" s="14" t="str">
        <f aca="false">base!G208</f>
        <v>JOSE ANGELATS AGREDA</v>
      </c>
      <c r="F208" s="14" t="n">
        <f aca="false">N(base!O208)</f>
        <v>0.75</v>
      </c>
      <c r="G208" s="4" t="n">
        <f aca="false">SUM(base!U208:AF208)+N(base!AK208)</f>
        <v>4</v>
      </c>
      <c r="H208" s="14" t="n">
        <f aca="false">N(base!S208)</f>
        <v>11</v>
      </c>
      <c r="I208" s="6" t="n">
        <f aca="false">IFERROR(G208/H208,0)</f>
        <v>0.363636363636364</v>
      </c>
      <c r="J208" s="4" t="n">
        <f aca="false">SUM(base!AG208:AJ208)</f>
        <v>0</v>
      </c>
      <c r="K208" s="5" t="n">
        <f aca="false">IFERROR((base!AG208+base!AH208)/(base!K208+base!L208),0)</f>
        <v>0</v>
      </c>
      <c r="L208" s="5" t="n">
        <f aca="false">MAX(N(base!AI208),K208*N(base!M208))</f>
        <v>0</v>
      </c>
      <c r="M208" s="5" t="n">
        <f aca="false">MAX(N(base!AJ208),K208*N(base!N208))</f>
        <v>0</v>
      </c>
      <c r="N208" s="5" t="n">
        <f aca="false">base!AG208+base!AH208+L208+M208</f>
        <v>0</v>
      </c>
      <c r="O208" s="14" t="n">
        <f aca="false">N(base!T208)</f>
        <v>5</v>
      </c>
      <c r="P208" s="6" t="n">
        <f aca="false">IFERROR(J208/O208,0)</f>
        <v>0</v>
      </c>
      <c r="Q208" s="6" t="n">
        <f aca="false">IFERROR(N208/O208,0)</f>
        <v>0</v>
      </c>
      <c r="R208" s="6" t="n">
        <f aca="false">Parametros!$B$3*I208+Parametros!$B$4*P208</f>
        <v>0.254545454545455</v>
      </c>
      <c r="S208" s="6" t="n">
        <f aca="false">Parametros!$B$3*I208+Parametros!$B$4*Q208</f>
        <v>0.254545454545455</v>
      </c>
      <c r="T208" s="4" t="str">
        <f aca="false">IF(S208&lt;tablas!$C$3,"No activa",INDEX(tablas!$B$3:$B$8,MATCH(S208,tablas!$C$3:$C$8,1)))</f>
        <v>No activa</v>
      </c>
      <c r="U208" s="15" t="n">
        <f aca="false">IF(S208&lt;tablas!$C$3,0,INDEX(tablas!$D$3:$D$8,MATCH(S208,tablas!$C$3:$C$8,1)))</f>
        <v>0</v>
      </c>
      <c r="V208" s="16" t="n">
        <f aca="false">N(base!AQ208)</f>
        <v>1200</v>
      </c>
      <c r="W208" s="7" t="n">
        <f aca="false">U208*V208</f>
        <v>0</v>
      </c>
      <c r="X208" s="4" t="str">
        <f aca="false">IF(R208&lt;tablas!$C$3,"No activa",INDEX(tablas!$B$3:$B$8,MATCH(R208,tablas!$C$3:$C$8,1)))</f>
        <v>No activa</v>
      </c>
      <c r="Y208" s="7" t="n">
        <f aca="false">IF(R208&lt;tablas!$C$3,0,INDEX(tablas!$D$3:$D$8,MATCH(R208,tablas!$C$3:$C$8,1)))*V208</f>
        <v>0</v>
      </c>
      <c r="Z208" s="4" t="str">
        <f aca="false">IF(S208&gt;=tablas!$C$3,"Activa",IF(S208&gt;=Parametros!$B$5,"Cerca","No activa"))</f>
        <v>No activa</v>
      </c>
      <c r="AA208" s="6" t="n">
        <f aca="false">MAX(0,tablas!$C$3-S208)</f>
        <v>0.545454545454546</v>
      </c>
    </row>
    <row r="209" customFormat="false" ht="15" hidden="false" customHeight="false" outlineLevel="0" collapsed="false">
      <c r="A209" s="14" t="str">
        <f aca="false">base!A209</f>
        <v>74959602-9</v>
      </c>
      <c r="B209" s="14" t="str">
        <f aca="false">base!E209</f>
        <v>Outbound Regular</v>
      </c>
      <c r="C209" s="14" t="str">
        <f aca="false">base!D209</f>
        <v>Outbound</v>
      </c>
      <c r="D209" s="14" t="str">
        <f aca="false">base!F209</f>
        <v>DELIA LEON RUIDIAS</v>
      </c>
      <c r="E209" s="14" t="str">
        <f aca="false">base!G209</f>
        <v>JOSE ANGELATS AGREDA</v>
      </c>
      <c r="F209" s="14" t="n">
        <f aca="false">N(base!O209)</f>
        <v>1</v>
      </c>
      <c r="G209" s="4" t="n">
        <f aca="false">SUM(base!U209:AF209)+N(base!AK209)</f>
        <v>0</v>
      </c>
      <c r="H209" s="14" t="n">
        <f aca="false">N(base!S209)</f>
        <v>5</v>
      </c>
      <c r="I209" s="6" t="n">
        <f aca="false">IFERROR(G209/H209,0)</f>
        <v>0</v>
      </c>
      <c r="J209" s="4" t="n">
        <f aca="false">SUM(base!AG209:AJ209)</f>
        <v>3</v>
      </c>
      <c r="K209" s="5" t="n">
        <f aca="false">IFERROR((base!AG209+base!AH209)/(base!K209+base!L209),0)</f>
        <v>1.5</v>
      </c>
      <c r="L209" s="5" t="n">
        <f aca="false">MAX(N(base!AI209),K209*N(base!M209))</f>
        <v>1.5</v>
      </c>
      <c r="M209" s="5" t="n">
        <f aca="false">MAX(N(base!AJ209),K209*N(base!N209))</f>
        <v>1.5</v>
      </c>
      <c r="N209" s="5" t="n">
        <f aca="false">base!AG209+base!AH209+L209+M209</f>
        <v>6</v>
      </c>
      <c r="O209" s="14" t="n">
        <f aca="false">N(base!T209)</f>
        <v>3</v>
      </c>
      <c r="P209" s="6" t="n">
        <f aca="false">IFERROR(J209/O209,0)</f>
        <v>1</v>
      </c>
      <c r="Q209" s="6" t="n">
        <f aca="false">IFERROR(N209/O209,0)</f>
        <v>2</v>
      </c>
      <c r="R209" s="6" t="n">
        <f aca="false">Parametros!$B$3*I209+Parametros!$B$4*P209</f>
        <v>0.3</v>
      </c>
      <c r="S209" s="6" t="n">
        <f aca="false">Parametros!$B$3*I209+Parametros!$B$4*Q209</f>
        <v>0.6</v>
      </c>
      <c r="T209" s="4" t="str">
        <f aca="false">IF(S209&lt;tablas!$C$3,"No activa",INDEX(tablas!$B$3:$B$8,MATCH(S209,tablas!$C$3:$C$8,1)))</f>
        <v>No activa</v>
      </c>
      <c r="U209" s="15" t="n">
        <f aca="false">IF(S209&lt;tablas!$C$3,0,INDEX(tablas!$D$3:$D$8,MATCH(S209,tablas!$C$3:$C$8,1)))</f>
        <v>0</v>
      </c>
      <c r="V209" s="16" t="n">
        <f aca="false">N(base!AQ209)</f>
        <v>1200</v>
      </c>
      <c r="W209" s="7" t="n">
        <f aca="false">U209*V209</f>
        <v>0</v>
      </c>
      <c r="X209" s="4" t="str">
        <f aca="false">IF(R209&lt;tablas!$C$3,"No activa",INDEX(tablas!$B$3:$B$8,MATCH(R209,tablas!$C$3:$C$8,1)))</f>
        <v>No activa</v>
      </c>
      <c r="Y209" s="7" t="n">
        <f aca="false">IF(R209&lt;tablas!$C$3,0,INDEX(tablas!$D$3:$D$8,MATCH(R209,tablas!$C$3:$C$8,1)))*V209</f>
        <v>0</v>
      </c>
      <c r="Z209" s="4" t="str">
        <f aca="false">IF(S209&gt;=tablas!$C$3,"Activa",IF(S209&gt;=Parametros!$B$5,"Cerca","No activa"))</f>
        <v>No activa</v>
      </c>
      <c r="AA209" s="6" t="n">
        <f aca="false">MAX(0,tablas!$C$3-S209)</f>
        <v>0.2</v>
      </c>
    </row>
    <row r="210" customFormat="false" ht="15" hidden="false" customHeight="false" outlineLevel="0" collapsed="false">
      <c r="A210" s="14" t="str">
        <f aca="false">base!A210</f>
        <v>46457519-2</v>
      </c>
      <c r="B210" s="14" t="str">
        <f aca="false">base!E210</f>
        <v>Outbound Regular</v>
      </c>
      <c r="C210" s="14" t="str">
        <f aca="false">base!D210</f>
        <v>Outbound</v>
      </c>
      <c r="D210" s="14" t="str">
        <f aca="false">base!F210</f>
        <v>JUAN CASTILLO CORREA</v>
      </c>
      <c r="E210" s="14" t="str">
        <f aca="false">base!G210</f>
        <v>JOSE ANGELATS AGREDA</v>
      </c>
      <c r="F210" s="14" t="n">
        <f aca="false">N(base!O210)</f>
        <v>1</v>
      </c>
      <c r="G210" s="4" t="n">
        <f aca="false">SUM(base!U210:AF210)+N(base!AK210)</f>
        <v>0</v>
      </c>
      <c r="H210" s="14" t="n">
        <f aca="false">N(base!S210)</f>
        <v>5</v>
      </c>
      <c r="I210" s="6" t="n">
        <f aca="false">IFERROR(G210/H210,0)</f>
        <v>0</v>
      </c>
      <c r="J210" s="4" t="n">
        <f aca="false">SUM(base!AG210:AJ210)</f>
        <v>3</v>
      </c>
      <c r="K210" s="5" t="n">
        <f aca="false">IFERROR((base!AG210+base!AH210)/(base!K210+base!L210),0)</f>
        <v>1.5</v>
      </c>
      <c r="L210" s="5" t="n">
        <f aca="false">MAX(N(base!AI210),K210*N(base!M210))</f>
        <v>1.5</v>
      </c>
      <c r="M210" s="5" t="n">
        <f aca="false">MAX(N(base!AJ210),K210*N(base!N210))</f>
        <v>1.5</v>
      </c>
      <c r="N210" s="5" t="n">
        <f aca="false">base!AG210+base!AH210+L210+M210</f>
        <v>6</v>
      </c>
      <c r="O210" s="14" t="n">
        <f aca="false">N(base!T210)</f>
        <v>2</v>
      </c>
      <c r="P210" s="6" t="n">
        <f aca="false">IFERROR(J210/O210,0)</f>
        <v>1.5</v>
      </c>
      <c r="Q210" s="6" t="n">
        <f aca="false">IFERROR(N210/O210,0)</f>
        <v>3</v>
      </c>
      <c r="R210" s="6" t="n">
        <f aca="false">Parametros!$B$3*I210+Parametros!$B$4*P210</f>
        <v>0.45</v>
      </c>
      <c r="S210" s="6" t="n">
        <f aca="false">Parametros!$B$3*I210+Parametros!$B$4*Q210</f>
        <v>0.9</v>
      </c>
      <c r="T210" s="4" t="str">
        <f aca="false">IF(S210&lt;tablas!$C$3,"No activa",INDEX(tablas!$B$3:$B$8,MATCH(S210,tablas!$C$3:$C$8,1)))</f>
        <v>N2</v>
      </c>
      <c r="U210" s="15" t="n">
        <f aca="false">IF(S210&lt;tablas!$C$3,0,INDEX(tablas!$D$3:$D$8,MATCH(S210,tablas!$C$3:$C$8,1)))</f>
        <v>0.9</v>
      </c>
      <c r="V210" s="16" t="n">
        <f aca="false">N(base!AQ210)</f>
        <v>1200</v>
      </c>
      <c r="W210" s="7" t="n">
        <f aca="false">U210*V210</f>
        <v>1080</v>
      </c>
      <c r="X210" s="4" t="str">
        <f aca="false">IF(R210&lt;tablas!$C$3,"No activa",INDEX(tablas!$B$3:$B$8,MATCH(R210,tablas!$C$3:$C$8,1)))</f>
        <v>No activa</v>
      </c>
      <c r="Y210" s="7" t="n">
        <f aca="false">IF(R210&lt;tablas!$C$3,0,INDEX(tablas!$D$3:$D$8,MATCH(R210,tablas!$C$3:$C$8,1)))*V210</f>
        <v>0</v>
      </c>
      <c r="Z210" s="4" t="str">
        <f aca="false">IF(S210&gt;=tablas!$C$3,"Activa",IF(S210&gt;=Parametros!$B$5,"Cerca","No activa"))</f>
        <v>Activa</v>
      </c>
      <c r="AA210" s="6" t="n">
        <f aca="false">MAX(0,tablas!$C$3-S210)</f>
        <v>0</v>
      </c>
    </row>
    <row r="211" customFormat="false" ht="15" hidden="false" customHeight="false" outlineLevel="0" collapsed="false">
      <c r="A211" s="14" t="str">
        <f aca="false">base!A211</f>
        <v>70376259-5</v>
      </c>
      <c r="B211" s="14" t="str">
        <f aca="false">base!E211</f>
        <v>Outbound Regular</v>
      </c>
      <c r="C211" s="14" t="str">
        <f aca="false">base!D211</f>
        <v>Outbound</v>
      </c>
      <c r="D211" s="14" t="str">
        <f aca="false">base!F211</f>
        <v>JUAN CASTILLO CORREA</v>
      </c>
      <c r="E211" s="14" t="str">
        <f aca="false">base!G211</f>
        <v>JOSE ANGELATS AGREDA</v>
      </c>
      <c r="F211" s="14" t="n">
        <f aca="false">N(base!O211)</f>
        <v>0.5</v>
      </c>
      <c r="G211" s="4" t="n">
        <f aca="false">SUM(base!U211:AF211)+N(base!AK211)</f>
        <v>0</v>
      </c>
      <c r="H211" s="14" t="n">
        <f aca="false">N(base!S211)</f>
        <v>3</v>
      </c>
      <c r="I211" s="6" t="n">
        <f aca="false">IFERROR(G211/H211,0)</f>
        <v>0</v>
      </c>
      <c r="J211" s="4" t="n">
        <f aca="false">SUM(base!AG211:AJ211)</f>
        <v>0</v>
      </c>
      <c r="K211" s="5" t="n">
        <f aca="false">IFERROR((base!AG211+base!AH211)/(base!K211+base!L211),0)</f>
        <v>0</v>
      </c>
      <c r="L211" s="5" t="n">
        <f aca="false">MAX(N(base!AI211),K211*N(base!M211))</f>
        <v>0</v>
      </c>
      <c r="M211" s="5" t="n">
        <f aca="false">MAX(N(base!AJ211),K211*N(base!N211))</f>
        <v>0</v>
      </c>
      <c r="N211" s="5" t="n">
        <f aca="false">base!AG211+base!AH211+L211+M211</f>
        <v>0</v>
      </c>
      <c r="O211" s="14" t="n">
        <f aca="false">N(base!T211)</f>
        <v>2</v>
      </c>
      <c r="P211" s="6" t="n">
        <f aca="false">IFERROR(J211/O211,0)</f>
        <v>0</v>
      </c>
      <c r="Q211" s="6" t="n">
        <f aca="false">IFERROR(N211/O211,0)</f>
        <v>0</v>
      </c>
      <c r="R211" s="6" t="n">
        <f aca="false">Parametros!$B$3*I211+Parametros!$B$4*P211</f>
        <v>0</v>
      </c>
      <c r="S211" s="6" t="n">
        <f aca="false">Parametros!$B$3*I211+Parametros!$B$4*Q211</f>
        <v>0</v>
      </c>
      <c r="T211" s="4" t="str">
        <f aca="false">IF(S211&lt;tablas!$C$3,"No activa",INDEX(tablas!$B$3:$B$8,MATCH(S211,tablas!$C$3:$C$8,1)))</f>
        <v>No activa</v>
      </c>
      <c r="U211" s="15" t="n">
        <f aca="false">IF(S211&lt;tablas!$C$3,0,INDEX(tablas!$D$3:$D$8,MATCH(S211,tablas!$C$3:$C$8,1)))</f>
        <v>0</v>
      </c>
      <c r="V211" s="16" t="n">
        <f aca="false">N(base!AQ211)</f>
        <v>600</v>
      </c>
      <c r="W211" s="7" t="n">
        <f aca="false">U211*V211</f>
        <v>0</v>
      </c>
      <c r="X211" s="4" t="str">
        <f aca="false">IF(R211&lt;tablas!$C$3,"No activa",INDEX(tablas!$B$3:$B$8,MATCH(R211,tablas!$C$3:$C$8,1)))</f>
        <v>No activa</v>
      </c>
      <c r="Y211" s="7" t="n">
        <f aca="false">IF(R211&lt;tablas!$C$3,0,INDEX(tablas!$D$3:$D$8,MATCH(R211,tablas!$C$3:$C$8,1)))*V211</f>
        <v>0</v>
      </c>
      <c r="Z211" s="4" t="str">
        <f aca="false">IF(S211&gt;=tablas!$C$3,"Activa",IF(S211&gt;=Parametros!$B$5,"Cerca","No activa"))</f>
        <v>No activa</v>
      </c>
      <c r="AA211" s="6" t="n">
        <f aca="false">MAX(0,tablas!$C$3-S211)</f>
        <v>0.8</v>
      </c>
    </row>
    <row r="212" customFormat="false" ht="15" hidden="false" customHeight="false" outlineLevel="0" collapsed="false">
      <c r="A212" s="14" t="str">
        <f aca="false">base!A212</f>
        <v>71949107-9</v>
      </c>
      <c r="B212" s="14" t="str">
        <f aca="false">base!E212</f>
        <v>Outbound Regular</v>
      </c>
      <c r="C212" s="14" t="str">
        <f aca="false">base!D212</f>
        <v>Outbound</v>
      </c>
      <c r="D212" s="14" t="str">
        <f aca="false">base!F212</f>
        <v>JUAN CASTILLO CORREA</v>
      </c>
      <c r="E212" s="14" t="str">
        <f aca="false">base!G212</f>
        <v>JOSE ANGELATS AGREDA</v>
      </c>
      <c r="F212" s="14" t="n">
        <f aca="false">N(base!O212)</f>
        <v>1</v>
      </c>
      <c r="G212" s="4" t="n">
        <f aca="false">SUM(base!U212:AF212)+N(base!AK212)</f>
        <v>0</v>
      </c>
      <c r="H212" s="14" t="n">
        <f aca="false">N(base!S212)</f>
        <v>5</v>
      </c>
      <c r="I212" s="6" t="n">
        <f aca="false">IFERROR(G212/H212,0)</f>
        <v>0</v>
      </c>
      <c r="J212" s="4" t="n">
        <f aca="false">SUM(base!AG212:AJ212)</f>
        <v>1</v>
      </c>
      <c r="K212" s="5" t="n">
        <f aca="false">IFERROR((base!AG212+base!AH212)/(base!K212+base!L212),0)</f>
        <v>0.5</v>
      </c>
      <c r="L212" s="5" t="n">
        <f aca="false">MAX(N(base!AI212),K212*N(base!M212))</f>
        <v>0.5</v>
      </c>
      <c r="M212" s="5" t="n">
        <f aca="false">MAX(N(base!AJ212),K212*N(base!N212))</f>
        <v>0.5</v>
      </c>
      <c r="N212" s="5" t="n">
        <f aca="false">base!AG212+base!AH212+L212+M212</f>
        <v>2</v>
      </c>
      <c r="O212" s="14" t="n">
        <f aca="false">N(base!T212)</f>
        <v>2</v>
      </c>
      <c r="P212" s="6" t="n">
        <f aca="false">IFERROR(J212/O212,0)</f>
        <v>0.5</v>
      </c>
      <c r="Q212" s="6" t="n">
        <f aca="false">IFERROR(N212/O212,0)</f>
        <v>1</v>
      </c>
      <c r="R212" s="6" t="n">
        <f aca="false">Parametros!$B$3*I212+Parametros!$B$4*P212</f>
        <v>0.15</v>
      </c>
      <c r="S212" s="6" t="n">
        <f aca="false">Parametros!$B$3*I212+Parametros!$B$4*Q212</f>
        <v>0.3</v>
      </c>
      <c r="T212" s="4" t="str">
        <f aca="false">IF(S212&lt;tablas!$C$3,"No activa",INDEX(tablas!$B$3:$B$8,MATCH(S212,tablas!$C$3:$C$8,1)))</f>
        <v>No activa</v>
      </c>
      <c r="U212" s="15" t="n">
        <f aca="false">IF(S212&lt;tablas!$C$3,0,INDEX(tablas!$D$3:$D$8,MATCH(S212,tablas!$C$3:$C$8,1)))</f>
        <v>0</v>
      </c>
      <c r="V212" s="16" t="n">
        <f aca="false">N(base!AQ212)</f>
        <v>1200</v>
      </c>
      <c r="W212" s="7" t="n">
        <f aca="false">U212*V212</f>
        <v>0</v>
      </c>
      <c r="X212" s="4" t="str">
        <f aca="false">IF(R212&lt;tablas!$C$3,"No activa",INDEX(tablas!$B$3:$B$8,MATCH(R212,tablas!$C$3:$C$8,1)))</f>
        <v>No activa</v>
      </c>
      <c r="Y212" s="7" t="n">
        <f aca="false">IF(R212&lt;tablas!$C$3,0,INDEX(tablas!$D$3:$D$8,MATCH(R212,tablas!$C$3:$C$8,1)))*V212</f>
        <v>0</v>
      </c>
      <c r="Z212" s="4" t="str">
        <f aca="false">IF(S212&gt;=tablas!$C$3,"Activa",IF(S212&gt;=Parametros!$B$5,"Cerca","No activa"))</f>
        <v>No activa</v>
      </c>
      <c r="AA212" s="6" t="n">
        <f aca="false">MAX(0,tablas!$C$3-S212)</f>
        <v>0.5</v>
      </c>
    </row>
    <row r="213" customFormat="false" ht="15" hidden="false" customHeight="false" outlineLevel="0" collapsed="false">
      <c r="A213" s="14" t="str">
        <f aca="false">base!A213</f>
        <v>76713959-0</v>
      </c>
      <c r="B213" s="14" t="str">
        <f aca="false">base!E213</f>
        <v>Outbound Regular</v>
      </c>
      <c r="C213" s="14" t="str">
        <f aca="false">base!D213</f>
        <v>Outbound</v>
      </c>
      <c r="D213" s="14" t="str">
        <f aca="false">base!F213</f>
        <v>JUAN CASTILLO CORREA</v>
      </c>
      <c r="E213" s="14" t="str">
        <f aca="false">base!G213</f>
        <v>JOSE ANGELATS AGREDA</v>
      </c>
      <c r="F213" s="14" t="n">
        <f aca="false">N(base!O213)</f>
        <v>1</v>
      </c>
      <c r="G213" s="4" t="n">
        <f aca="false">SUM(base!U213:AF213)+N(base!AK213)</f>
        <v>0</v>
      </c>
      <c r="H213" s="14" t="n">
        <f aca="false">N(base!S213)</f>
        <v>5</v>
      </c>
      <c r="I213" s="6" t="n">
        <f aca="false">IFERROR(G213/H213,0)</f>
        <v>0</v>
      </c>
      <c r="J213" s="4" t="n">
        <f aca="false">SUM(base!AG213:AJ213)</f>
        <v>1</v>
      </c>
      <c r="K213" s="5" t="n">
        <f aca="false">IFERROR((base!AG213+base!AH213)/(base!K213+base!L213),0)</f>
        <v>0</v>
      </c>
      <c r="L213" s="5" t="n">
        <f aca="false">MAX(N(base!AI213),K213*N(base!M213))</f>
        <v>1</v>
      </c>
      <c r="M213" s="5" t="n">
        <f aca="false">MAX(N(base!AJ213),K213*N(base!N213))</f>
        <v>0</v>
      </c>
      <c r="N213" s="5" t="n">
        <f aca="false">base!AG213+base!AH213+L213+M213</f>
        <v>1</v>
      </c>
      <c r="O213" s="14" t="n">
        <f aca="false">N(base!T213)</f>
        <v>2</v>
      </c>
      <c r="P213" s="6" t="n">
        <f aca="false">IFERROR(J213/O213,0)</f>
        <v>0.5</v>
      </c>
      <c r="Q213" s="6" t="n">
        <f aca="false">IFERROR(N213/O213,0)</f>
        <v>0.5</v>
      </c>
      <c r="R213" s="6" t="n">
        <f aca="false">Parametros!$B$3*I213+Parametros!$B$4*P213</f>
        <v>0.15</v>
      </c>
      <c r="S213" s="6" t="n">
        <f aca="false">Parametros!$B$3*I213+Parametros!$B$4*Q213</f>
        <v>0.15</v>
      </c>
      <c r="T213" s="4" t="str">
        <f aca="false">IF(S213&lt;tablas!$C$3,"No activa",INDEX(tablas!$B$3:$B$8,MATCH(S213,tablas!$C$3:$C$8,1)))</f>
        <v>No activa</v>
      </c>
      <c r="U213" s="15" t="n">
        <f aca="false">IF(S213&lt;tablas!$C$3,0,INDEX(tablas!$D$3:$D$8,MATCH(S213,tablas!$C$3:$C$8,1)))</f>
        <v>0</v>
      </c>
      <c r="V213" s="16" t="n">
        <f aca="false">N(base!AQ213)</f>
        <v>1200</v>
      </c>
      <c r="W213" s="7" t="n">
        <f aca="false">U213*V213</f>
        <v>0</v>
      </c>
      <c r="X213" s="4" t="str">
        <f aca="false">IF(R213&lt;tablas!$C$3,"No activa",INDEX(tablas!$B$3:$B$8,MATCH(R213,tablas!$C$3:$C$8,1)))</f>
        <v>No activa</v>
      </c>
      <c r="Y213" s="7" t="n">
        <f aca="false">IF(R213&lt;tablas!$C$3,0,INDEX(tablas!$D$3:$D$8,MATCH(R213,tablas!$C$3:$C$8,1)))*V213</f>
        <v>0</v>
      </c>
      <c r="Z213" s="4" t="str">
        <f aca="false">IF(S213&gt;=tablas!$C$3,"Activa",IF(S213&gt;=Parametros!$B$5,"Cerca","No activa"))</f>
        <v>No activa</v>
      </c>
      <c r="AA213" s="6" t="n">
        <f aca="false">MAX(0,tablas!$C$3-S213)</f>
        <v>0.65</v>
      </c>
    </row>
    <row r="214" customFormat="false" ht="15" hidden="false" customHeight="false" outlineLevel="0" collapsed="false">
      <c r="A214" s="14" t="str">
        <f aca="false">base!A214</f>
        <v>71028809-2</v>
      </c>
      <c r="B214" s="14" t="str">
        <f aca="false">base!E214</f>
        <v>Outbound Regular</v>
      </c>
      <c r="C214" s="14" t="str">
        <f aca="false">base!D214</f>
        <v>Outbound</v>
      </c>
      <c r="D214" s="14" t="str">
        <f aca="false">base!F214</f>
        <v>JUAN CASTILLO CORREA</v>
      </c>
      <c r="E214" s="14" t="str">
        <f aca="false">base!G214</f>
        <v>JOSE ANGELATS AGREDA</v>
      </c>
      <c r="F214" s="14" t="n">
        <f aca="false">N(base!O214)</f>
        <v>1</v>
      </c>
      <c r="G214" s="4" t="n">
        <f aca="false">SUM(base!U214:AF214)+N(base!AK214)</f>
        <v>0</v>
      </c>
      <c r="H214" s="14" t="n">
        <f aca="false">N(base!S214)</f>
        <v>4</v>
      </c>
      <c r="I214" s="6" t="n">
        <f aca="false">IFERROR(G214/H214,0)</f>
        <v>0</v>
      </c>
      <c r="J214" s="4" t="n">
        <f aca="false">SUM(base!AG214:AJ214)</f>
        <v>2</v>
      </c>
      <c r="K214" s="5" t="n">
        <f aca="false">IFERROR((base!AG214+base!AH214)/(base!K214+base!L214),0)</f>
        <v>0.5</v>
      </c>
      <c r="L214" s="5" t="n">
        <f aca="false">MAX(N(base!AI214),K214*N(base!M214))</f>
        <v>1</v>
      </c>
      <c r="M214" s="5" t="n">
        <f aca="false">MAX(N(base!AJ214),K214*N(base!N214))</f>
        <v>0.5</v>
      </c>
      <c r="N214" s="5" t="n">
        <f aca="false">base!AG214+base!AH214+L214+M214</f>
        <v>2.5</v>
      </c>
      <c r="O214" s="14" t="n">
        <f aca="false">N(base!T214)</f>
        <v>1</v>
      </c>
      <c r="P214" s="6" t="n">
        <f aca="false">IFERROR(J214/O214,0)</f>
        <v>2</v>
      </c>
      <c r="Q214" s="6" t="n">
        <f aca="false">IFERROR(N214/O214,0)</f>
        <v>2.5</v>
      </c>
      <c r="R214" s="6" t="n">
        <f aca="false">Parametros!$B$3*I214+Parametros!$B$4*P214</f>
        <v>0.6</v>
      </c>
      <c r="S214" s="6" t="n">
        <f aca="false">Parametros!$B$3*I214+Parametros!$B$4*Q214</f>
        <v>0.75</v>
      </c>
      <c r="T214" s="4" t="str">
        <f aca="false">IF(S214&lt;tablas!$C$3,"No activa",INDEX(tablas!$B$3:$B$8,MATCH(S214,tablas!$C$3:$C$8,1)))</f>
        <v>No activa</v>
      </c>
      <c r="U214" s="15" t="n">
        <f aca="false">IF(S214&lt;tablas!$C$3,0,INDEX(tablas!$D$3:$D$8,MATCH(S214,tablas!$C$3:$C$8,1)))</f>
        <v>0</v>
      </c>
      <c r="V214" s="16" t="n">
        <f aca="false">N(base!AQ214)</f>
        <v>1200</v>
      </c>
      <c r="W214" s="7" t="n">
        <f aca="false">U214*V214</f>
        <v>0</v>
      </c>
      <c r="X214" s="4" t="str">
        <f aca="false">IF(R214&lt;tablas!$C$3,"No activa",INDEX(tablas!$B$3:$B$8,MATCH(R214,tablas!$C$3:$C$8,1)))</f>
        <v>No activa</v>
      </c>
      <c r="Y214" s="7" t="n">
        <f aca="false">IF(R214&lt;tablas!$C$3,0,INDEX(tablas!$D$3:$D$8,MATCH(R214,tablas!$C$3:$C$8,1)))*V214</f>
        <v>0</v>
      </c>
      <c r="Z214" s="4" t="str">
        <f aca="false">IF(S214&gt;=tablas!$C$3,"Activa",IF(S214&gt;=Parametros!$B$5,"Cerca","No activa"))</f>
        <v>Cerca</v>
      </c>
      <c r="AA214" s="6" t="n">
        <f aca="false">MAX(0,tablas!$C$3-S214)</f>
        <v>0.05</v>
      </c>
    </row>
    <row r="215" customFormat="false" ht="15" hidden="false" customHeight="false" outlineLevel="0" collapsed="false">
      <c r="A215" s="14" t="str">
        <f aca="false">base!A215</f>
        <v>73739736-5</v>
      </c>
      <c r="B215" s="14" t="str">
        <f aca="false">base!E215</f>
        <v>Outbound Regular</v>
      </c>
      <c r="C215" s="14" t="str">
        <f aca="false">base!D215</f>
        <v>Outbound</v>
      </c>
      <c r="D215" s="14" t="str">
        <f aca="false">base!F215</f>
        <v>JUAN CASTILLO CORREA</v>
      </c>
      <c r="E215" s="14" t="str">
        <f aca="false">base!G215</f>
        <v>JOSE ANGELATS AGREDA</v>
      </c>
      <c r="F215" s="14" t="n">
        <f aca="false">N(base!O215)</f>
        <v>1</v>
      </c>
      <c r="G215" s="4" t="n">
        <f aca="false">SUM(base!U215:AF215)+N(base!AK215)</f>
        <v>0</v>
      </c>
      <c r="H215" s="14" t="n">
        <f aca="false">N(base!S215)</f>
        <v>4</v>
      </c>
      <c r="I215" s="6" t="n">
        <f aca="false">IFERROR(G215/H215,0)</f>
        <v>0</v>
      </c>
      <c r="J215" s="4" t="n">
        <f aca="false">SUM(base!AG215:AJ215)</f>
        <v>0</v>
      </c>
      <c r="K215" s="5" t="n">
        <f aca="false">IFERROR((base!AG215+base!AH215)/(base!K215+base!L215),0)</f>
        <v>0</v>
      </c>
      <c r="L215" s="5" t="n">
        <f aca="false">MAX(N(base!AI215),K215*N(base!M215))</f>
        <v>0</v>
      </c>
      <c r="M215" s="5" t="n">
        <f aca="false">MAX(N(base!AJ215),K215*N(base!N215))</f>
        <v>0</v>
      </c>
      <c r="N215" s="5" t="n">
        <f aca="false">base!AG215+base!AH215+L215+M215</f>
        <v>0</v>
      </c>
      <c r="O215" s="14" t="n">
        <f aca="false">N(base!T215)</f>
        <v>2</v>
      </c>
      <c r="P215" s="6" t="n">
        <f aca="false">IFERROR(J215/O215,0)</f>
        <v>0</v>
      </c>
      <c r="Q215" s="6" t="n">
        <f aca="false">IFERROR(N215/O215,0)</f>
        <v>0</v>
      </c>
      <c r="R215" s="6" t="n">
        <f aca="false">Parametros!$B$3*I215+Parametros!$B$4*P215</f>
        <v>0</v>
      </c>
      <c r="S215" s="6" t="n">
        <f aca="false">Parametros!$B$3*I215+Parametros!$B$4*Q215</f>
        <v>0</v>
      </c>
      <c r="T215" s="4" t="str">
        <f aca="false">IF(S215&lt;tablas!$C$3,"No activa",INDEX(tablas!$B$3:$B$8,MATCH(S215,tablas!$C$3:$C$8,1)))</f>
        <v>No activa</v>
      </c>
      <c r="U215" s="15" t="n">
        <f aca="false">IF(S215&lt;tablas!$C$3,0,INDEX(tablas!$D$3:$D$8,MATCH(S215,tablas!$C$3:$C$8,1)))</f>
        <v>0</v>
      </c>
      <c r="V215" s="16" t="n">
        <f aca="false">N(base!AQ215)</f>
        <v>1200</v>
      </c>
      <c r="W215" s="7" t="n">
        <f aca="false">U215*V215</f>
        <v>0</v>
      </c>
      <c r="X215" s="4" t="str">
        <f aca="false">IF(R215&lt;tablas!$C$3,"No activa",INDEX(tablas!$B$3:$B$8,MATCH(R215,tablas!$C$3:$C$8,1)))</f>
        <v>No activa</v>
      </c>
      <c r="Y215" s="7" t="n">
        <f aca="false">IF(R215&lt;tablas!$C$3,0,INDEX(tablas!$D$3:$D$8,MATCH(R215,tablas!$C$3:$C$8,1)))*V215</f>
        <v>0</v>
      </c>
      <c r="Z215" s="4" t="str">
        <f aca="false">IF(S215&gt;=tablas!$C$3,"Activa",IF(S215&gt;=Parametros!$B$5,"Cerca","No activa"))</f>
        <v>No activa</v>
      </c>
      <c r="AA215" s="6" t="n">
        <f aca="false">MAX(0,tablas!$C$3-S215)</f>
        <v>0.8</v>
      </c>
    </row>
    <row r="216" customFormat="false" ht="15" hidden="false" customHeight="false" outlineLevel="0" collapsed="false">
      <c r="A216" s="14" t="str">
        <f aca="false">base!A216</f>
        <v>71466657-1</v>
      </c>
      <c r="B216" s="14" t="str">
        <f aca="false">base!E216</f>
        <v>Outbound Regular</v>
      </c>
      <c r="C216" s="14" t="str">
        <f aca="false">base!D216</f>
        <v>Outbound</v>
      </c>
      <c r="D216" s="14" t="str">
        <f aca="false">base!F216</f>
        <v>JUAN CASTILLO CORREA</v>
      </c>
      <c r="E216" s="14" t="str">
        <f aca="false">base!G216</f>
        <v>JOSE ANGELATS AGREDA</v>
      </c>
      <c r="F216" s="14" t="n">
        <f aca="false">N(base!O216)</f>
        <v>1</v>
      </c>
      <c r="G216" s="4" t="n">
        <f aca="false">SUM(base!U216:AF216)+N(base!AK216)</f>
        <v>0</v>
      </c>
      <c r="H216" s="14" t="n">
        <f aca="false">N(base!S216)</f>
        <v>4</v>
      </c>
      <c r="I216" s="6" t="n">
        <f aca="false">IFERROR(G216/H216,0)</f>
        <v>0</v>
      </c>
      <c r="J216" s="4" t="n">
        <f aca="false">SUM(base!AG216:AJ216)</f>
        <v>1</v>
      </c>
      <c r="K216" s="5" t="n">
        <f aca="false">IFERROR((base!AG216+base!AH216)/(base!K216+base!L216),0)</f>
        <v>0.5</v>
      </c>
      <c r="L216" s="5" t="n">
        <f aca="false">MAX(N(base!AI216),K216*N(base!M216))</f>
        <v>0.5</v>
      </c>
      <c r="M216" s="5" t="n">
        <f aca="false">MAX(N(base!AJ216),K216*N(base!N216))</f>
        <v>0.5</v>
      </c>
      <c r="N216" s="5" t="n">
        <f aca="false">base!AG216+base!AH216+L216+M216</f>
        <v>2</v>
      </c>
      <c r="O216" s="14" t="n">
        <f aca="false">N(base!T216)</f>
        <v>2</v>
      </c>
      <c r="P216" s="6" t="n">
        <f aca="false">IFERROR(J216/O216,0)</f>
        <v>0.5</v>
      </c>
      <c r="Q216" s="6" t="n">
        <f aca="false">IFERROR(N216/O216,0)</f>
        <v>1</v>
      </c>
      <c r="R216" s="6" t="n">
        <f aca="false">Parametros!$B$3*I216+Parametros!$B$4*P216</f>
        <v>0.15</v>
      </c>
      <c r="S216" s="6" t="n">
        <f aca="false">Parametros!$B$3*I216+Parametros!$B$4*Q216</f>
        <v>0.3</v>
      </c>
      <c r="T216" s="4" t="str">
        <f aca="false">IF(S216&lt;tablas!$C$3,"No activa",INDEX(tablas!$B$3:$B$8,MATCH(S216,tablas!$C$3:$C$8,1)))</f>
        <v>No activa</v>
      </c>
      <c r="U216" s="15" t="n">
        <f aca="false">IF(S216&lt;tablas!$C$3,0,INDEX(tablas!$D$3:$D$8,MATCH(S216,tablas!$C$3:$C$8,1)))</f>
        <v>0</v>
      </c>
      <c r="V216" s="16" t="n">
        <f aca="false">N(base!AQ216)</f>
        <v>1200</v>
      </c>
      <c r="W216" s="7" t="n">
        <f aca="false">U216*V216</f>
        <v>0</v>
      </c>
      <c r="X216" s="4" t="str">
        <f aca="false">IF(R216&lt;tablas!$C$3,"No activa",INDEX(tablas!$B$3:$B$8,MATCH(R216,tablas!$C$3:$C$8,1)))</f>
        <v>No activa</v>
      </c>
      <c r="Y216" s="7" t="n">
        <f aca="false">IF(R216&lt;tablas!$C$3,0,INDEX(tablas!$D$3:$D$8,MATCH(R216,tablas!$C$3:$C$8,1)))*V216</f>
        <v>0</v>
      </c>
      <c r="Z216" s="4" t="str">
        <f aca="false">IF(S216&gt;=tablas!$C$3,"Activa",IF(S216&gt;=Parametros!$B$5,"Cerca","No activa"))</f>
        <v>No activa</v>
      </c>
      <c r="AA216" s="6" t="n">
        <f aca="false">MAX(0,tablas!$C$3-S216)</f>
        <v>0.5</v>
      </c>
    </row>
    <row r="217" customFormat="false" ht="15" hidden="false" customHeight="false" outlineLevel="0" collapsed="false">
      <c r="A217" s="14" t="str">
        <f aca="false">base!A217</f>
        <v>72503204-3</v>
      </c>
      <c r="B217" s="14" t="str">
        <f aca="false">base!E217</f>
        <v>Outbound Regular</v>
      </c>
      <c r="C217" s="14" t="str">
        <f aca="false">base!D217</f>
        <v>Outbound</v>
      </c>
      <c r="D217" s="14" t="str">
        <f aca="false">base!F217</f>
        <v>JUAN CASTILLO CORREA</v>
      </c>
      <c r="E217" s="14" t="str">
        <f aca="false">base!G217</f>
        <v>JOSE ANGELATS AGREDA</v>
      </c>
      <c r="F217" s="14" t="n">
        <f aca="false">N(base!O217)</f>
        <v>1</v>
      </c>
      <c r="G217" s="4" t="n">
        <f aca="false">SUM(base!U217:AF217)+N(base!AK217)</f>
        <v>0</v>
      </c>
      <c r="H217" s="14" t="n">
        <f aca="false">N(base!S217)</f>
        <v>4</v>
      </c>
      <c r="I217" s="6" t="n">
        <f aca="false">IFERROR(G217/H217,0)</f>
        <v>0</v>
      </c>
      <c r="J217" s="4" t="n">
        <f aca="false">SUM(base!AG217:AJ217)</f>
        <v>4</v>
      </c>
      <c r="K217" s="5" t="n">
        <f aca="false">IFERROR((base!AG217+base!AH217)/(base!K217+base!L217),0)</f>
        <v>2</v>
      </c>
      <c r="L217" s="5" t="n">
        <f aca="false">MAX(N(base!AI217),K217*N(base!M217))</f>
        <v>2</v>
      </c>
      <c r="M217" s="5" t="n">
        <f aca="false">MAX(N(base!AJ217),K217*N(base!N217))</f>
        <v>2</v>
      </c>
      <c r="N217" s="5" t="n">
        <f aca="false">base!AG217+base!AH217+L217+M217</f>
        <v>8</v>
      </c>
      <c r="O217" s="14" t="n">
        <f aca="false">N(base!T217)</f>
        <v>2</v>
      </c>
      <c r="P217" s="6" t="n">
        <f aca="false">IFERROR(J217/O217,0)</f>
        <v>2</v>
      </c>
      <c r="Q217" s="6" t="n">
        <f aca="false">IFERROR(N217/O217,0)</f>
        <v>4</v>
      </c>
      <c r="R217" s="6" t="n">
        <f aca="false">Parametros!$B$3*I217+Parametros!$B$4*P217</f>
        <v>0.6</v>
      </c>
      <c r="S217" s="6" t="n">
        <f aca="false">Parametros!$B$3*I217+Parametros!$B$4*Q217</f>
        <v>1.2</v>
      </c>
      <c r="T217" s="4" t="str">
        <f aca="false">IF(S217&lt;tablas!$C$3,"No activa",INDEX(tablas!$B$3:$B$8,MATCH(S217,tablas!$C$3:$C$8,1)))</f>
        <v>N5</v>
      </c>
      <c r="U217" s="15" t="n">
        <f aca="false">IF(S217&lt;tablas!$C$3,0,INDEX(tablas!$D$3:$D$8,MATCH(S217,tablas!$C$3:$C$8,1)))</f>
        <v>1.5</v>
      </c>
      <c r="V217" s="16" t="n">
        <f aca="false">N(base!AQ217)</f>
        <v>1200</v>
      </c>
      <c r="W217" s="7" t="n">
        <f aca="false">U217*V217</f>
        <v>1800</v>
      </c>
      <c r="X217" s="4" t="str">
        <f aca="false">IF(R217&lt;tablas!$C$3,"No activa",INDEX(tablas!$B$3:$B$8,MATCH(R217,tablas!$C$3:$C$8,1)))</f>
        <v>No activa</v>
      </c>
      <c r="Y217" s="7" t="n">
        <f aca="false">IF(R217&lt;tablas!$C$3,0,INDEX(tablas!$D$3:$D$8,MATCH(R217,tablas!$C$3:$C$8,1)))*V217</f>
        <v>0</v>
      </c>
      <c r="Z217" s="4" t="str">
        <f aca="false">IF(S217&gt;=tablas!$C$3,"Activa",IF(S217&gt;=Parametros!$B$5,"Cerca","No activa"))</f>
        <v>Activa</v>
      </c>
      <c r="AA217" s="6" t="n">
        <f aca="false">MAX(0,tablas!$C$3-S217)</f>
        <v>0</v>
      </c>
    </row>
    <row r="218" customFormat="false" ht="15" hidden="false" customHeight="false" outlineLevel="0" collapsed="false">
      <c r="A218" s="14" t="str">
        <f aca="false">base!A218</f>
        <v>77299580-1</v>
      </c>
      <c r="B218" s="14" t="str">
        <f aca="false">base!E218</f>
        <v>Outbound Premium</v>
      </c>
      <c r="C218" s="14" t="str">
        <f aca="false">base!D218</f>
        <v>Outbound</v>
      </c>
      <c r="D218" s="14" t="str">
        <f aca="false">base!F218</f>
        <v>VERONICA SANTILLAN SALAZAR</v>
      </c>
      <c r="E218" s="14" t="str">
        <f aca="false">base!G218</f>
        <v>JOSE ANGELATS AGREDA</v>
      </c>
      <c r="F218" s="14" t="n">
        <f aca="false">N(base!O218)</f>
        <v>1</v>
      </c>
      <c r="G218" s="4" t="n">
        <f aca="false">SUM(base!U218:AF218)+N(base!AK218)</f>
        <v>0</v>
      </c>
      <c r="H218" s="14" t="n">
        <f aca="false">N(base!S218)</f>
        <v>5</v>
      </c>
      <c r="I218" s="6" t="n">
        <f aca="false">IFERROR(G218/H218,0)</f>
        <v>0</v>
      </c>
      <c r="J218" s="4" t="n">
        <f aca="false">SUM(base!AG218:AJ218)</f>
        <v>0</v>
      </c>
      <c r="K218" s="5" t="n">
        <f aca="false">IFERROR((base!AG218+base!AH218)/(base!K218+base!L218),0)</f>
        <v>0</v>
      </c>
      <c r="L218" s="5" t="n">
        <f aca="false">MAX(N(base!AI218),K218*N(base!M218))</f>
        <v>0</v>
      </c>
      <c r="M218" s="5" t="n">
        <f aca="false">MAX(N(base!AJ218),K218*N(base!N218))</f>
        <v>0</v>
      </c>
      <c r="N218" s="5" t="n">
        <f aca="false">base!AG218+base!AH218+L218+M218</f>
        <v>0</v>
      </c>
      <c r="O218" s="14" t="n">
        <f aca="false">N(base!T218)</f>
        <v>3</v>
      </c>
      <c r="P218" s="6" t="n">
        <f aca="false">IFERROR(J218/O218,0)</f>
        <v>0</v>
      </c>
      <c r="Q218" s="6" t="n">
        <f aca="false">IFERROR(N218/O218,0)</f>
        <v>0</v>
      </c>
      <c r="R218" s="6" t="n">
        <f aca="false">Parametros!$B$3*I218+Parametros!$B$4*P218</f>
        <v>0</v>
      </c>
      <c r="S218" s="6" t="n">
        <f aca="false">Parametros!$B$3*I218+Parametros!$B$4*Q218</f>
        <v>0</v>
      </c>
      <c r="T218" s="4" t="str">
        <f aca="false">IF(S218&lt;tablas!$C$3,"No activa",INDEX(tablas!$B$3:$B$8,MATCH(S218,tablas!$C$3:$C$8,1)))</f>
        <v>No activa</v>
      </c>
      <c r="U218" s="15" t="n">
        <f aca="false">IF(S218&lt;tablas!$C$3,0,INDEX(tablas!$D$3:$D$8,MATCH(S218,tablas!$C$3:$C$8,1)))</f>
        <v>0</v>
      </c>
      <c r="V218" s="16" t="n">
        <f aca="false">N(base!AQ218)</f>
        <v>1200</v>
      </c>
      <c r="W218" s="7" t="n">
        <f aca="false">U218*V218</f>
        <v>0</v>
      </c>
      <c r="X218" s="4" t="str">
        <f aca="false">IF(R218&lt;tablas!$C$3,"No activa",INDEX(tablas!$B$3:$B$8,MATCH(R218,tablas!$C$3:$C$8,1)))</f>
        <v>No activa</v>
      </c>
      <c r="Y218" s="7" t="n">
        <f aca="false">IF(R218&lt;tablas!$C$3,0,INDEX(tablas!$D$3:$D$8,MATCH(R218,tablas!$C$3:$C$8,1)))*V218</f>
        <v>0</v>
      </c>
      <c r="Z218" s="4" t="str">
        <f aca="false">IF(S218&gt;=tablas!$C$3,"Activa",IF(S218&gt;=Parametros!$B$5,"Cerca","No activa"))</f>
        <v>No activa</v>
      </c>
      <c r="AA218" s="6" t="n">
        <f aca="false">MAX(0,tablas!$C$3-S218)</f>
        <v>0.8</v>
      </c>
    </row>
    <row r="219" customFormat="false" ht="15" hidden="false" customHeight="false" outlineLevel="0" collapsed="false">
      <c r="A219" s="14" t="str">
        <f aca="false">base!A219</f>
        <v>71514916-3</v>
      </c>
      <c r="B219" s="14" t="str">
        <f aca="false">base!E219</f>
        <v>Outbound Regular</v>
      </c>
      <c r="C219" s="14" t="str">
        <f aca="false">base!D219</f>
        <v>Outbound</v>
      </c>
      <c r="D219" s="14" t="str">
        <f aca="false">base!F219</f>
        <v>JUAN CASTILLO CORREA</v>
      </c>
      <c r="E219" s="14" t="str">
        <f aca="false">base!G219</f>
        <v>JOSE ANGELATS AGREDA</v>
      </c>
      <c r="F219" s="14" t="n">
        <f aca="false">N(base!O219)</f>
        <v>0.5</v>
      </c>
      <c r="G219" s="4" t="n">
        <f aca="false">SUM(base!U219:AF219)+N(base!AK219)</f>
        <v>0</v>
      </c>
      <c r="H219" s="14" t="n">
        <f aca="false">N(base!S219)</f>
        <v>3</v>
      </c>
      <c r="I219" s="6" t="n">
        <f aca="false">IFERROR(G219/H219,0)</f>
        <v>0</v>
      </c>
      <c r="J219" s="4" t="n">
        <f aca="false">SUM(base!AG219:AJ219)</f>
        <v>0</v>
      </c>
      <c r="K219" s="5" t="n">
        <f aca="false">IFERROR((base!AG219+base!AH219)/(base!K219+base!L219),0)</f>
        <v>0</v>
      </c>
      <c r="L219" s="5" t="n">
        <f aca="false">MAX(N(base!AI219),K219*N(base!M219))</f>
        <v>0</v>
      </c>
      <c r="M219" s="5" t="n">
        <f aca="false">MAX(N(base!AJ219),K219*N(base!N219))</f>
        <v>0</v>
      </c>
      <c r="N219" s="5" t="n">
        <f aca="false">base!AG219+base!AH219+L219+M219</f>
        <v>0</v>
      </c>
      <c r="O219" s="14" t="n">
        <f aca="false">N(base!T219)</f>
        <v>1</v>
      </c>
      <c r="P219" s="6" t="n">
        <f aca="false">IFERROR(J219/O219,0)</f>
        <v>0</v>
      </c>
      <c r="Q219" s="6" t="n">
        <f aca="false">IFERROR(N219/O219,0)</f>
        <v>0</v>
      </c>
      <c r="R219" s="6" t="n">
        <f aca="false">Parametros!$B$3*I219+Parametros!$B$4*P219</f>
        <v>0</v>
      </c>
      <c r="S219" s="6" t="n">
        <f aca="false">Parametros!$B$3*I219+Parametros!$B$4*Q219</f>
        <v>0</v>
      </c>
      <c r="T219" s="4" t="str">
        <f aca="false">IF(S219&lt;tablas!$C$3,"No activa",INDEX(tablas!$B$3:$B$8,MATCH(S219,tablas!$C$3:$C$8,1)))</f>
        <v>No activa</v>
      </c>
      <c r="U219" s="15" t="n">
        <f aca="false">IF(S219&lt;tablas!$C$3,0,INDEX(tablas!$D$3:$D$8,MATCH(S219,tablas!$C$3:$C$8,1)))</f>
        <v>0</v>
      </c>
      <c r="V219" s="16" t="n">
        <f aca="false">N(base!AQ219)</f>
        <v>600</v>
      </c>
      <c r="W219" s="7" t="n">
        <f aca="false">U219*V219</f>
        <v>0</v>
      </c>
      <c r="X219" s="4" t="str">
        <f aca="false">IF(R219&lt;tablas!$C$3,"No activa",INDEX(tablas!$B$3:$B$8,MATCH(R219,tablas!$C$3:$C$8,1)))</f>
        <v>No activa</v>
      </c>
      <c r="Y219" s="7" t="n">
        <f aca="false">IF(R219&lt;tablas!$C$3,0,INDEX(tablas!$D$3:$D$8,MATCH(R219,tablas!$C$3:$C$8,1)))*V219</f>
        <v>0</v>
      </c>
      <c r="Z219" s="4" t="str">
        <f aca="false">IF(S219&gt;=tablas!$C$3,"Activa",IF(S219&gt;=Parametros!$B$5,"Cerca","No activa"))</f>
        <v>No activa</v>
      </c>
      <c r="AA219" s="6" t="n">
        <f aca="false">MAX(0,tablas!$C$3-S219)</f>
        <v>0.8</v>
      </c>
    </row>
    <row r="220" customFormat="false" ht="15" hidden="false" customHeight="false" outlineLevel="0" collapsed="false">
      <c r="A220" s="14" t="str">
        <f aca="false">base!A220</f>
        <v>70323823-3</v>
      </c>
      <c r="B220" s="14" t="str">
        <f aca="false">base!E220</f>
        <v>Outbound Regular</v>
      </c>
      <c r="C220" s="14" t="str">
        <f aca="false">base!D220</f>
        <v>Outbound</v>
      </c>
      <c r="D220" s="14" t="str">
        <f aca="false">base!F220</f>
        <v>JUAN CASTILLO CORREA</v>
      </c>
      <c r="E220" s="14" t="str">
        <f aca="false">base!G220</f>
        <v>JOSE ANGELATS AGREDA</v>
      </c>
      <c r="F220" s="14" t="n">
        <f aca="false">N(base!O220)</f>
        <v>0.5</v>
      </c>
      <c r="G220" s="4" t="n">
        <f aca="false">SUM(base!U220:AF220)+N(base!AK220)</f>
        <v>0</v>
      </c>
      <c r="H220" s="14" t="n">
        <f aca="false">N(base!S220)</f>
        <v>3</v>
      </c>
      <c r="I220" s="6" t="n">
        <f aca="false">IFERROR(G220/H220,0)</f>
        <v>0</v>
      </c>
      <c r="J220" s="4" t="n">
        <f aca="false">SUM(base!AG220:AJ220)</f>
        <v>1</v>
      </c>
      <c r="K220" s="5" t="n">
        <f aca="false">IFERROR((base!AG220+base!AH220)/(base!K220+base!L220),0)</f>
        <v>0</v>
      </c>
      <c r="L220" s="5" t="n">
        <f aca="false">MAX(N(base!AI220),K220*N(base!M220))</f>
        <v>0</v>
      </c>
      <c r="M220" s="5" t="n">
        <f aca="false">MAX(N(base!AJ220),K220*N(base!N220))</f>
        <v>0</v>
      </c>
      <c r="N220" s="5" t="n">
        <f aca="false">base!AG220+base!AH220+L220+M220</f>
        <v>1</v>
      </c>
      <c r="O220" s="14" t="n">
        <f aca="false">N(base!T220)</f>
        <v>2</v>
      </c>
      <c r="P220" s="6" t="n">
        <f aca="false">IFERROR(J220/O220,0)</f>
        <v>0.5</v>
      </c>
      <c r="Q220" s="6" t="n">
        <f aca="false">IFERROR(N220/O220,0)</f>
        <v>0.5</v>
      </c>
      <c r="R220" s="6" t="n">
        <f aca="false">Parametros!$B$3*I220+Parametros!$B$4*P220</f>
        <v>0.15</v>
      </c>
      <c r="S220" s="6" t="n">
        <f aca="false">Parametros!$B$3*I220+Parametros!$B$4*Q220</f>
        <v>0.15</v>
      </c>
      <c r="T220" s="4" t="str">
        <f aca="false">IF(S220&lt;tablas!$C$3,"No activa",INDEX(tablas!$B$3:$B$8,MATCH(S220,tablas!$C$3:$C$8,1)))</f>
        <v>No activa</v>
      </c>
      <c r="U220" s="15" t="n">
        <f aca="false">IF(S220&lt;tablas!$C$3,0,INDEX(tablas!$D$3:$D$8,MATCH(S220,tablas!$C$3:$C$8,1)))</f>
        <v>0</v>
      </c>
      <c r="V220" s="16" t="n">
        <f aca="false">N(base!AQ220)</f>
        <v>600</v>
      </c>
      <c r="W220" s="7" t="n">
        <f aca="false">U220*V220</f>
        <v>0</v>
      </c>
      <c r="X220" s="4" t="str">
        <f aca="false">IF(R220&lt;tablas!$C$3,"No activa",INDEX(tablas!$B$3:$B$8,MATCH(R220,tablas!$C$3:$C$8,1)))</f>
        <v>No activa</v>
      </c>
      <c r="Y220" s="7" t="n">
        <f aca="false">IF(R220&lt;tablas!$C$3,0,INDEX(tablas!$D$3:$D$8,MATCH(R220,tablas!$C$3:$C$8,1)))*V220</f>
        <v>0</v>
      </c>
      <c r="Z220" s="4" t="str">
        <f aca="false">IF(S220&gt;=tablas!$C$3,"Activa",IF(S220&gt;=Parametros!$B$5,"Cerca","No activa"))</f>
        <v>No activa</v>
      </c>
      <c r="AA220" s="6" t="n">
        <f aca="false">MAX(0,tablas!$C$3-S220)</f>
        <v>0.65</v>
      </c>
    </row>
    <row r="221" customFormat="false" ht="15" hidden="false" customHeight="false" outlineLevel="0" collapsed="false">
      <c r="A221" s="14" t="str">
        <f aca="false">base!A221</f>
        <v>76665198-0</v>
      </c>
      <c r="B221" s="14" t="str">
        <f aca="false">base!E221</f>
        <v>Outbound Regular</v>
      </c>
      <c r="C221" s="14" t="str">
        <f aca="false">base!D221</f>
        <v>Outbound</v>
      </c>
      <c r="D221" s="14" t="str">
        <f aca="false">base!F221</f>
        <v>JUAN CASTILLO CORREA</v>
      </c>
      <c r="E221" s="14" t="str">
        <f aca="false">base!G221</f>
        <v>JOSE ANGELATS AGREDA</v>
      </c>
      <c r="F221" s="14" t="n">
        <f aca="false">N(base!O221)</f>
        <v>1</v>
      </c>
      <c r="G221" s="4" t="n">
        <f aca="false">SUM(base!U221:AF221)+N(base!AK221)</f>
        <v>0</v>
      </c>
      <c r="H221" s="14" t="n">
        <f aca="false">N(base!S221)</f>
        <v>5</v>
      </c>
      <c r="I221" s="6" t="n">
        <f aca="false">IFERROR(G221/H221,0)</f>
        <v>0</v>
      </c>
      <c r="J221" s="4" t="n">
        <f aca="false">SUM(base!AG221:AJ221)</f>
        <v>1</v>
      </c>
      <c r="K221" s="5" t="n">
        <f aca="false">IFERROR((base!AG221+base!AH221)/(base!K221+base!L221),0)</f>
        <v>0.5</v>
      </c>
      <c r="L221" s="5" t="n">
        <f aca="false">MAX(N(base!AI221),K221*N(base!M221))</f>
        <v>0.5</v>
      </c>
      <c r="M221" s="5" t="n">
        <f aca="false">MAX(N(base!AJ221),K221*N(base!N221))</f>
        <v>0.5</v>
      </c>
      <c r="N221" s="5" t="n">
        <f aca="false">base!AG221+base!AH221+L221+M221</f>
        <v>2</v>
      </c>
      <c r="O221" s="14" t="n">
        <f aca="false">N(base!T221)</f>
        <v>2</v>
      </c>
      <c r="P221" s="6" t="n">
        <f aca="false">IFERROR(J221/O221,0)</f>
        <v>0.5</v>
      </c>
      <c r="Q221" s="6" t="n">
        <f aca="false">IFERROR(N221/O221,0)</f>
        <v>1</v>
      </c>
      <c r="R221" s="6" t="n">
        <f aca="false">Parametros!$B$3*I221+Parametros!$B$4*P221</f>
        <v>0.15</v>
      </c>
      <c r="S221" s="6" t="n">
        <f aca="false">Parametros!$B$3*I221+Parametros!$B$4*Q221</f>
        <v>0.3</v>
      </c>
      <c r="T221" s="4" t="str">
        <f aca="false">IF(S221&lt;tablas!$C$3,"No activa",INDEX(tablas!$B$3:$B$8,MATCH(S221,tablas!$C$3:$C$8,1)))</f>
        <v>No activa</v>
      </c>
      <c r="U221" s="15" t="n">
        <f aca="false">IF(S221&lt;tablas!$C$3,0,INDEX(tablas!$D$3:$D$8,MATCH(S221,tablas!$C$3:$C$8,1)))</f>
        <v>0</v>
      </c>
      <c r="V221" s="16" t="n">
        <f aca="false">N(base!AQ221)</f>
        <v>1200</v>
      </c>
      <c r="W221" s="7" t="n">
        <f aca="false">U221*V221</f>
        <v>0</v>
      </c>
      <c r="X221" s="4" t="str">
        <f aca="false">IF(R221&lt;tablas!$C$3,"No activa",INDEX(tablas!$B$3:$B$8,MATCH(R221,tablas!$C$3:$C$8,1)))</f>
        <v>No activa</v>
      </c>
      <c r="Y221" s="7" t="n">
        <f aca="false">IF(R221&lt;tablas!$C$3,0,INDEX(tablas!$D$3:$D$8,MATCH(R221,tablas!$C$3:$C$8,1)))*V221</f>
        <v>0</v>
      </c>
      <c r="Z221" s="4" t="str">
        <f aca="false">IF(S221&gt;=tablas!$C$3,"Activa",IF(S221&gt;=Parametros!$B$5,"Cerca","No activa"))</f>
        <v>No activa</v>
      </c>
      <c r="AA221" s="6" t="n">
        <f aca="false">MAX(0,tablas!$C$3-S221)</f>
        <v>0.5</v>
      </c>
    </row>
    <row r="222" customFormat="false" ht="15" hidden="false" customHeight="false" outlineLevel="0" collapsed="false">
      <c r="A222" s="14" t="str">
        <f aca="false">base!A222</f>
        <v>75143635-7</v>
      </c>
      <c r="B222" s="14" t="str">
        <f aca="false">base!E222</f>
        <v>Outbound Regular</v>
      </c>
      <c r="C222" s="14" t="str">
        <f aca="false">base!D222</f>
        <v>Outbound</v>
      </c>
      <c r="D222" s="14" t="str">
        <f aca="false">base!F222</f>
        <v>JUAN CASTILLO CORREA</v>
      </c>
      <c r="E222" s="14" t="str">
        <f aca="false">base!G222</f>
        <v>JOSE ANGELATS AGREDA</v>
      </c>
      <c r="F222" s="14" t="n">
        <f aca="false">N(base!O222)</f>
        <v>1</v>
      </c>
      <c r="G222" s="4" t="n">
        <f aca="false">SUM(base!U222:AF222)+N(base!AK222)</f>
        <v>4</v>
      </c>
      <c r="H222" s="14" t="n">
        <f aca="false">N(base!S222)</f>
        <v>5</v>
      </c>
      <c r="I222" s="6" t="n">
        <f aca="false">IFERROR(G222/H222,0)</f>
        <v>0.8</v>
      </c>
      <c r="J222" s="4" t="n">
        <f aca="false">SUM(base!AG222:AJ222)</f>
        <v>3</v>
      </c>
      <c r="K222" s="5" t="n">
        <f aca="false">IFERROR((base!AG222+base!AH222)/(base!K222+base!L222),0)</f>
        <v>1.5</v>
      </c>
      <c r="L222" s="5" t="n">
        <f aca="false">MAX(N(base!AI222),K222*N(base!M222))</f>
        <v>1.5</v>
      </c>
      <c r="M222" s="5" t="n">
        <f aca="false">MAX(N(base!AJ222),K222*N(base!N222))</f>
        <v>1.5</v>
      </c>
      <c r="N222" s="5" t="n">
        <f aca="false">base!AG222+base!AH222+L222+M222</f>
        <v>6</v>
      </c>
      <c r="O222" s="14" t="n">
        <f aca="false">N(base!T222)</f>
        <v>2</v>
      </c>
      <c r="P222" s="6" t="n">
        <f aca="false">IFERROR(J222/O222,0)</f>
        <v>1.5</v>
      </c>
      <c r="Q222" s="6" t="n">
        <f aca="false">IFERROR(N222/O222,0)</f>
        <v>3</v>
      </c>
      <c r="R222" s="6" t="n">
        <f aca="false">Parametros!$B$3*I222+Parametros!$B$4*P222</f>
        <v>1.01</v>
      </c>
      <c r="S222" s="6" t="n">
        <f aca="false">Parametros!$B$3*I222+Parametros!$B$4*Q222</f>
        <v>1.46</v>
      </c>
      <c r="T222" s="4" t="str">
        <f aca="false">IF(S222&lt;tablas!$C$3,"No activa",INDEX(tablas!$B$3:$B$8,MATCH(S222,tablas!$C$3:$C$8,1)))</f>
        <v>N6</v>
      </c>
      <c r="U222" s="15" t="n">
        <f aca="false">IF(S222&lt;tablas!$C$3,0,INDEX(tablas!$D$3:$D$8,MATCH(S222,tablas!$C$3:$C$8,1)))</f>
        <v>2</v>
      </c>
      <c r="V222" s="16" t="n">
        <f aca="false">N(base!AQ222)</f>
        <v>1200</v>
      </c>
      <c r="W222" s="7" t="n">
        <f aca="false">U222*V222</f>
        <v>2400</v>
      </c>
      <c r="X222" s="4" t="str">
        <f aca="false">IF(R222&lt;tablas!$C$3,"No activa",INDEX(tablas!$B$3:$B$8,MATCH(R222,tablas!$C$3:$C$8,1)))</f>
        <v>N3</v>
      </c>
      <c r="Y222" s="7" t="n">
        <f aca="false">IF(R222&lt;tablas!$C$3,0,INDEX(tablas!$D$3:$D$8,MATCH(R222,tablas!$C$3:$C$8,1)))*V222</f>
        <v>1200</v>
      </c>
      <c r="Z222" s="4" t="str">
        <f aca="false">IF(S222&gt;=tablas!$C$3,"Activa",IF(S222&gt;=Parametros!$B$5,"Cerca","No activa"))</f>
        <v>Activa</v>
      </c>
      <c r="AA222" s="6" t="n">
        <f aca="false">MAX(0,tablas!$C$3-S222)</f>
        <v>0</v>
      </c>
    </row>
    <row r="223" customFormat="false" ht="15" hidden="false" customHeight="false" outlineLevel="0" collapsed="false">
      <c r="A223" s="14" t="str">
        <f aca="false">base!A223</f>
        <v>73790666-9</v>
      </c>
      <c r="B223" s="14" t="str">
        <f aca="false">base!E223</f>
        <v>Outbound Regular</v>
      </c>
      <c r="C223" s="14" t="str">
        <f aca="false">base!D223</f>
        <v>Outbound</v>
      </c>
      <c r="D223" s="14" t="str">
        <f aca="false">base!F223</f>
        <v>DELIA LEON RUIDIAS</v>
      </c>
      <c r="E223" s="14" t="str">
        <f aca="false">base!G223</f>
        <v>JOSE ANGELATS AGREDA</v>
      </c>
      <c r="F223" s="14" t="n">
        <f aca="false">N(base!O223)</f>
        <v>1</v>
      </c>
      <c r="G223" s="4" t="n">
        <f aca="false">SUM(base!U223:AF223)+N(base!AK223)</f>
        <v>1</v>
      </c>
      <c r="H223" s="14" t="n">
        <f aca="false">N(base!S223)</f>
        <v>5</v>
      </c>
      <c r="I223" s="6" t="n">
        <f aca="false">IFERROR(G223/H223,0)</f>
        <v>0.2</v>
      </c>
      <c r="J223" s="4" t="n">
        <f aca="false">SUM(base!AG223:AJ223)</f>
        <v>1</v>
      </c>
      <c r="K223" s="5" t="n">
        <f aca="false">IFERROR((base!AG223+base!AH223)/(base!K223+base!L223),0)</f>
        <v>0</v>
      </c>
      <c r="L223" s="5" t="n">
        <f aca="false">MAX(N(base!AI223),K223*N(base!M223))</f>
        <v>1</v>
      </c>
      <c r="M223" s="5" t="n">
        <f aca="false">MAX(N(base!AJ223),K223*N(base!N223))</f>
        <v>0</v>
      </c>
      <c r="N223" s="5" t="n">
        <f aca="false">base!AG223+base!AH223+L223+M223</f>
        <v>1</v>
      </c>
      <c r="O223" s="14" t="n">
        <f aca="false">N(base!T223)</f>
        <v>2</v>
      </c>
      <c r="P223" s="6" t="n">
        <f aca="false">IFERROR(J223/O223,0)</f>
        <v>0.5</v>
      </c>
      <c r="Q223" s="6" t="n">
        <f aca="false">IFERROR(N223/O223,0)</f>
        <v>0.5</v>
      </c>
      <c r="R223" s="6" t="n">
        <f aca="false">Parametros!$B$3*I223+Parametros!$B$4*P223</f>
        <v>0.29</v>
      </c>
      <c r="S223" s="6" t="n">
        <f aca="false">Parametros!$B$3*I223+Parametros!$B$4*Q223</f>
        <v>0.29</v>
      </c>
      <c r="T223" s="4" t="str">
        <f aca="false">IF(S223&lt;tablas!$C$3,"No activa",INDEX(tablas!$B$3:$B$8,MATCH(S223,tablas!$C$3:$C$8,1)))</f>
        <v>No activa</v>
      </c>
      <c r="U223" s="15" t="n">
        <f aca="false">IF(S223&lt;tablas!$C$3,0,INDEX(tablas!$D$3:$D$8,MATCH(S223,tablas!$C$3:$C$8,1)))</f>
        <v>0</v>
      </c>
      <c r="V223" s="16" t="n">
        <f aca="false">N(base!AQ223)</f>
        <v>1200</v>
      </c>
      <c r="W223" s="7" t="n">
        <f aca="false">U223*V223</f>
        <v>0</v>
      </c>
      <c r="X223" s="4" t="str">
        <f aca="false">IF(R223&lt;tablas!$C$3,"No activa",INDEX(tablas!$B$3:$B$8,MATCH(R223,tablas!$C$3:$C$8,1)))</f>
        <v>No activa</v>
      </c>
      <c r="Y223" s="7" t="n">
        <f aca="false">IF(R223&lt;tablas!$C$3,0,INDEX(tablas!$D$3:$D$8,MATCH(R223,tablas!$C$3:$C$8,1)))*V223</f>
        <v>0</v>
      </c>
      <c r="Z223" s="4" t="str">
        <f aca="false">IF(S223&gt;=tablas!$C$3,"Activa",IF(S223&gt;=Parametros!$B$5,"Cerca","No activa"))</f>
        <v>No activa</v>
      </c>
      <c r="AA223" s="6" t="n">
        <f aca="false">MAX(0,tablas!$C$3-S223)</f>
        <v>0.51</v>
      </c>
    </row>
    <row r="224" customFormat="false" ht="15" hidden="false" customHeight="false" outlineLevel="0" collapsed="false">
      <c r="A224" s="14" t="str">
        <f aca="false">base!A224</f>
        <v>74367446-0</v>
      </c>
      <c r="B224" s="14" t="str">
        <f aca="false">base!E224</f>
        <v>Outbound Premium</v>
      </c>
      <c r="C224" s="14" t="str">
        <f aca="false">base!D224</f>
        <v>Outbound</v>
      </c>
      <c r="D224" s="14" t="str">
        <f aca="false">base!F224</f>
        <v>VERONICA SANTILLAN SALAZAR</v>
      </c>
      <c r="E224" s="14" t="str">
        <f aca="false">base!G224</f>
        <v>JOSE ANGELATS AGREDA</v>
      </c>
      <c r="F224" s="14" t="n">
        <f aca="false">N(base!O224)</f>
        <v>1</v>
      </c>
      <c r="G224" s="4" t="n">
        <f aca="false">SUM(base!U224:AF224)+N(base!AK224)</f>
        <v>3</v>
      </c>
      <c r="H224" s="14" t="n">
        <f aca="false">N(base!S224)</f>
        <v>8</v>
      </c>
      <c r="I224" s="6" t="n">
        <f aca="false">IFERROR(G224/H224,0)</f>
        <v>0.375</v>
      </c>
      <c r="J224" s="4" t="n">
        <f aca="false">SUM(base!AG224:AJ224)</f>
        <v>1</v>
      </c>
      <c r="K224" s="5" t="n">
        <f aca="false">IFERROR((base!AG224+base!AH224)/(base!K224+base!L224),0)</f>
        <v>0.5</v>
      </c>
      <c r="L224" s="5" t="n">
        <f aca="false">MAX(N(base!AI224),K224*N(base!M224))</f>
        <v>0.5</v>
      </c>
      <c r="M224" s="5" t="n">
        <f aca="false">MAX(N(base!AJ224),K224*N(base!N224))</f>
        <v>0.5</v>
      </c>
      <c r="N224" s="5" t="n">
        <f aca="false">base!AG224+base!AH224+L224+M224</f>
        <v>2</v>
      </c>
      <c r="O224" s="14" t="n">
        <f aca="false">N(base!T224)</f>
        <v>3</v>
      </c>
      <c r="P224" s="6" t="n">
        <f aca="false">IFERROR(J224/O224,0)</f>
        <v>0.333333333333333</v>
      </c>
      <c r="Q224" s="6" t="n">
        <f aca="false">IFERROR(N224/O224,0)</f>
        <v>0.666666666666667</v>
      </c>
      <c r="R224" s="6" t="n">
        <f aca="false">Parametros!$B$3*I224+Parametros!$B$4*P224</f>
        <v>0.3625</v>
      </c>
      <c r="S224" s="6" t="n">
        <f aca="false">Parametros!$B$3*I224+Parametros!$B$4*Q224</f>
        <v>0.4625</v>
      </c>
      <c r="T224" s="4" t="str">
        <f aca="false">IF(S224&lt;tablas!$C$3,"No activa",INDEX(tablas!$B$3:$B$8,MATCH(S224,tablas!$C$3:$C$8,1)))</f>
        <v>No activa</v>
      </c>
      <c r="U224" s="15" t="n">
        <f aca="false">IF(S224&lt;tablas!$C$3,0,INDEX(tablas!$D$3:$D$8,MATCH(S224,tablas!$C$3:$C$8,1)))</f>
        <v>0</v>
      </c>
      <c r="V224" s="16" t="n">
        <f aca="false">N(base!AQ224)</f>
        <v>1200</v>
      </c>
      <c r="W224" s="7" t="n">
        <f aca="false">U224*V224</f>
        <v>0</v>
      </c>
      <c r="X224" s="4" t="str">
        <f aca="false">IF(R224&lt;tablas!$C$3,"No activa",INDEX(tablas!$B$3:$B$8,MATCH(R224,tablas!$C$3:$C$8,1)))</f>
        <v>No activa</v>
      </c>
      <c r="Y224" s="7" t="n">
        <f aca="false">IF(R224&lt;tablas!$C$3,0,INDEX(tablas!$D$3:$D$8,MATCH(R224,tablas!$C$3:$C$8,1)))*V224</f>
        <v>0</v>
      </c>
      <c r="Z224" s="4" t="str">
        <f aca="false">IF(S224&gt;=tablas!$C$3,"Activa",IF(S224&gt;=Parametros!$B$5,"Cerca","No activa"))</f>
        <v>No activa</v>
      </c>
      <c r="AA224" s="6" t="n">
        <f aca="false">MAX(0,tablas!$C$3-S224)</f>
        <v>0.3375</v>
      </c>
    </row>
    <row r="225" customFormat="false" ht="15" hidden="false" customHeight="false" outlineLevel="0" collapsed="false">
      <c r="A225" s="14" t="str">
        <f aca="false">base!A225</f>
        <v>70459326-6</v>
      </c>
      <c r="B225" s="14" t="str">
        <f aca="false">base!E225</f>
        <v>Inbound Regular</v>
      </c>
      <c r="C225" s="14" t="str">
        <f aca="false">base!D225</f>
        <v>Inbound</v>
      </c>
      <c r="D225" s="14" t="str">
        <f aca="false">base!F225</f>
        <v>ANA CECILIA LEON CHACON</v>
      </c>
      <c r="E225" s="14" t="str">
        <f aca="false">base!G225</f>
        <v>JOSE ANGELATS AGREDA</v>
      </c>
      <c r="F225" s="14" t="n">
        <f aca="false">N(base!O225)</f>
        <v>1</v>
      </c>
      <c r="G225" s="4" t="n">
        <f aca="false">SUM(base!U225:AF225)+N(base!AK225)</f>
        <v>0</v>
      </c>
      <c r="H225" s="14" t="n">
        <f aca="false">N(base!S225)</f>
        <v>10</v>
      </c>
      <c r="I225" s="6" t="n">
        <f aca="false">IFERROR(G225/H225,0)</f>
        <v>0</v>
      </c>
      <c r="J225" s="4" t="n">
        <f aca="false">SUM(base!AG225:AJ225)</f>
        <v>7</v>
      </c>
      <c r="K225" s="5" t="n">
        <f aca="false">IFERROR((base!AG225+base!AH225)/(base!K225+base!L225),0)</f>
        <v>3</v>
      </c>
      <c r="L225" s="5" t="n">
        <f aca="false">MAX(N(base!AI225),K225*N(base!M225))</f>
        <v>3</v>
      </c>
      <c r="M225" s="5" t="n">
        <f aca="false">MAX(N(base!AJ225),K225*N(base!N225))</f>
        <v>3</v>
      </c>
      <c r="N225" s="5" t="n">
        <f aca="false">base!AG225+base!AH225+L225+M225</f>
        <v>12</v>
      </c>
      <c r="O225" s="14" t="n">
        <f aca="false">N(base!T225)</f>
        <v>4</v>
      </c>
      <c r="P225" s="6" t="n">
        <f aca="false">IFERROR(J225/O225,0)</f>
        <v>1.75</v>
      </c>
      <c r="Q225" s="6" t="n">
        <f aca="false">IFERROR(N225/O225,0)</f>
        <v>3</v>
      </c>
      <c r="R225" s="6" t="n">
        <f aca="false">Parametros!$B$3*I225+Parametros!$B$4*P225</f>
        <v>0.525</v>
      </c>
      <c r="S225" s="6" t="n">
        <f aca="false">Parametros!$B$3*I225+Parametros!$B$4*Q225</f>
        <v>0.9</v>
      </c>
      <c r="T225" s="4" t="str">
        <f aca="false">IF(S225&lt;tablas!$C$3,"No activa",INDEX(tablas!$B$3:$B$8,MATCH(S225,tablas!$C$3:$C$8,1)))</f>
        <v>N2</v>
      </c>
      <c r="U225" s="15" t="n">
        <f aca="false">IF(S225&lt;tablas!$C$3,0,INDEX(tablas!$D$3:$D$8,MATCH(S225,tablas!$C$3:$C$8,1)))</f>
        <v>0.9</v>
      </c>
      <c r="V225" s="16" t="n">
        <f aca="false">N(base!AQ225)</f>
        <v>1200</v>
      </c>
      <c r="W225" s="7" t="n">
        <f aca="false">U225*V225</f>
        <v>1080</v>
      </c>
      <c r="X225" s="4" t="str">
        <f aca="false">IF(R225&lt;tablas!$C$3,"No activa",INDEX(tablas!$B$3:$B$8,MATCH(R225,tablas!$C$3:$C$8,1)))</f>
        <v>No activa</v>
      </c>
      <c r="Y225" s="7" t="n">
        <f aca="false">IF(R225&lt;tablas!$C$3,0,INDEX(tablas!$D$3:$D$8,MATCH(R225,tablas!$C$3:$C$8,1)))*V225</f>
        <v>0</v>
      </c>
      <c r="Z225" s="4" t="str">
        <f aca="false">IF(S225&gt;=tablas!$C$3,"Activa",IF(S225&gt;=Parametros!$B$5,"Cerca","No activa"))</f>
        <v>Activa</v>
      </c>
      <c r="AA225" s="6" t="n">
        <f aca="false">MAX(0,tablas!$C$3-S225)</f>
        <v>0</v>
      </c>
    </row>
    <row r="226" customFormat="false" ht="15" hidden="false" customHeight="false" outlineLevel="0" collapsed="false">
      <c r="A226" s="14" t="str">
        <f aca="false">base!A226</f>
        <v>70285792-4</v>
      </c>
      <c r="B226" s="14" t="str">
        <f aca="false">base!E226</f>
        <v>Outbound Premium</v>
      </c>
      <c r="C226" s="14" t="str">
        <f aca="false">base!D226</f>
        <v>Outbound</v>
      </c>
      <c r="D226" s="14" t="str">
        <f aca="false">base!F226</f>
        <v>VERONICA SANTILLAN SALAZAR</v>
      </c>
      <c r="E226" s="14" t="str">
        <f aca="false">base!G226</f>
        <v>JOSE ANGELATS AGREDA</v>
      </c>
      <c r="F226" s="14" t="n">
        <f aca="false">N(base!O226)</f>
        <v>0.5</v>
      </c>
      <c r="G226" s="4" t="n">
        <f aca="false">SUM(base!U226:AF226)+N(base!AK226)</f>
        <v>0</v>
      </c>
      <c r="H226" s="14" t="n">
        <f aca="false">N(base!S226)</f>
        <v>4</v>
      </c>
      <c r="I226" s="6" t="n">
        <f aca="false">IFERROR(G226/H226,0)</f>
        <v>0</v>
      </c>
      <c r="J226" s="4" t="n">
        <f aca="false">SUM(base!AG226:AJ226)</f>
        <v>0</v>
      </c>
      <c r="K226" s="5" t="n">
        <f aca="false">IFERROR((base!AG226+base!AH226)/(base!K226+base!L226),0)</f>
        <v>0</v>
      </c>
      <c r="L226" s="5" t="n">
        <f aca="false">MAX(N(base!AI226),K226*N(base!M226))</f>
        <v>0</v>
      </c>
      <c r="M226" s="5" t="n">
        <f aca="false">MAX(N(base!AJ226),K226*N(base!N226))</f>
        <v>0</v>
      </c>
      <c r="N226" s="5" t="n">
        <f aca="false">base!AG226+base!AH226+L226+M226</f>
        <v>0</v>
      </c>
      <c r="O226" s="14" t="n">
        <f aca="false">N(base!T226)</f>
        <v>2</v>
      </c>
      <c r="P226" s="6" t="n">
        <f aca="false">IFERROR(J226/O226,0)</f>
        <v>0</v>
      </c>
      <c r="Q226" s="6" t="n">
        <f aca="false">IFERROR(N226/O226,0)</f>
        <v>0</v>
      </c>
      <c r="R226" s="6" t="n">
        <f aca="false">Parametros!$B$3*I226+Parametros!$B$4*P226</f>
        <v>0</v>
      </c>
      <c r="S226" s="6" t="n">
        <f aca="false">Parametros!$B$3*I226+Parametros!$B$4*Q226</f>
        <v>0</v>
      </c>
      <c r="T226" s="4" t="str">
        <f aca="false">IF(S226&lt;tablas!$C$3,"No activa",INDEX(tablas!$B$3:$B$8,MATCH(S226,tablas!$C$3:$C$8,1)))</f>
        <v>No activa</v>
      </c>
      <c r="U226" s="15" t="n">
        <f aca="false">IF(S226&lt;tablas!$C$3,0,INDEX(tablas!$D$3:$D$8,MATCH(S226,tablas!$C$3:$C$8,1)))</f>
        <v>0</v>
      </c>
      <c r="V226" s="16" t="n">
        <f aca="false">N(base!AQ226)</f>
        <v>600</v>
      </c>
      <c r="W226" s="7" t="n">
        <f aca="false">U226*V226</f>
        <v>0</v>
      </c>
      <c r="X226" s="4" t="str">
        <f aca="false">IF(R226&lt;tablas!$C$3,"No activa",INDEX(tablas!$B$3:$B$8,MATCH(R226,tablas!$C$3:$C$8,1)))</f>
        <v>No activa</v>
      </c>
      <c r="Y226" s="7" t="n">
        <f aca="false">IF(R226&lt;tablas!$C$3,0,INDEX(tablas!$D$3:$D$8,MATCH(R226,tablas!$C$3:$C$8,1)))*V226</f>
        <v>0</v>
      </c>
      <c r="Z226" s="4" t="str">
        <f aca="false">IF(S226&gt;=tablas!$C$3,"Activa",IF(S226&gt;=Parametros!$B$5,"Cerca","No activa"))</f>
        <v>No activa</v>
      </c>
      <c r="AA226" s="6" t="n">
        <f aca="false">MAX(0,tablas!$C$3-S226)</f>
        <v>0.8</v>
      </c>
    </row>
    <row r="227" customFormat="false" ht="15" hidden="false" customHeight="false" outlineLevel="0" collapsed="false">
      <c r="A227" s="14" t="str">
        <f aca="false">base!A227</f>
        <v>48077403-1</v>
      </c>
      <c r="B227" s="14" t="str">
        <f aca="false">base!E227</f>
        <v>Outbound Premium</v>
      </c>
      <c r="C227" s="14" t="str">
        <f aca="false">base!D227</f>
        <v>Outbound</v>
      </c>
      <c r="D227" s="14" t="str">
        <f aca="false">base!F227</f>
        <v>VERONICA SANTILLAN SALAZAR</v>
      </c>
      <c r="E227" s="14" t="str">
        <f aca="false">base!G227</f>
        <v>JOSE ANGELATS AGREDA</v>
      </c>
      <c r="F227" s="14" t="n">
        <f aca="false">N(base!O227)</f>
        <v>1</v>
      </c>
      <c r="G227" s="4" t="n">
        <f aca="false">SUM(base!U227:AF227)+N(base!AK227)</f>
        <v>4</v>
      </c>
      <c r="H227" s="14" t="n">
        <f aca="false">N(base!S227)</f>
        <v>8</v>
      </c>
      <c r="I227" s="6" t="n">
        <f aca="false">IFERROR(G227/H227,0)</f>
        <v>0.5</v>
      </c>
      <c r="J227" s="4" t="n">
        <f aca="false">SUM(base!AG227:AJ227)</f>
        <v>0</v>
      </c>
      <c r="K227" s="5" t="n">
        <f aca="false">IFERROR((base!AG227+base!AH227)/(base!K227+base!L227),0)</f>
        <v>0</v>
      </c>
      <c r="L227" s="5" t="n">
        <f aca="false">MAX(N(base!AI227),K227*N(base!M227))</f>
        <v>0</v>
      </c>
      <c r="M227" s="5" t="n">
        <f aca="false">MAX(N(base!AJ227),K227*N(base!N227))</f>
        <v>0</v>
      </c>
      <c r="N227" s="5" t="n">
        <f aca="false">base!AG227+base!AH227+L227+M227</f>
        <v>0</v>
      </c>
      <c r="O227" s="14" t="n">
        <f aca="false">N(base!T227)</f>
        <v>3</v>
      </c>
      <c r="P227" s="6" t="n">
        <f aca="false">IFERROR(J227/O227,0)</f>
        <v>0</v>
      </c>
      <c r="Q227" s="6" t="n">
        <f aca="false">IFERROR(N227/O227,0)</f>
        <v>0</v>
      </c>
      <c r="R227" s="6" t="n">
        <f aca="false">Parametros!$B$3*I227+Parametros!$B$4*P227</f>
        <v>0.35</v>
      </c>
      <c r="S227" s="6" t="n">
        <f aca="false">Parametros!$B$3*I227+Parametros!$B$4*Q227</f>
        <v>0.35</v>
      </c>
      <c r="T227" s="4" t="str">
        <f aca="false">IF(S227&lt;tablas!$C$3,"No activa",INDEX(tablas!$B$3:$B$8,MATCH(S227,tablas!$C$3:$C$8,1)))</f>
        <v>No activa</v>
      </c>
      <c r="U227" s="15" t="n">
        <f aca="false">IF(S227&lt;tablas!$C$3,0,INDEX(tablas!$D$3:$D$8,MATCH(S227,tablas!$C$3:$C$8,1)))</f>
        <v>0</v>
      </c>
      <c r="V227" s="16" t="n">
        <f aca="false">N(base!AQ227)</f>
        <v>1200</v>
      </c>
      <c r="W227" s="7" t="n">
        <f aca="false">U227*V227</f>
        <v>0</v>
      </c>
      <c r="X227" s="4" t="str">
        <f aca="false">IF(R227&lt;tablas!$C$3,"No activa",INDEX(tablas!$B$3:$B$8,MATCH(R227,tablas!$C$3:$C$8,1)))</f>
        <v>No activa</v>
      </c>
      <c r="Y227" s="7" t="n">
        <f aca="false">IF(R227&lt;tablas!$C$3,0,INDEX(tablas!$D$3:$D$8,MATCH(R227,tablas!$C$3:$C$8,1)))*V227</f>
        <v>0</v>
      </c>
      <c r="Z227" s="4" t="str">
        <f aca="false">IF(S227&gt;=tablas!$C$3,"Activa",IF(S227&gt;=Parametros!$B$5,"Cerca","No activa"))</f>
        <v>No activa</v>
      </c>
      <c r="AA227" s="6" t="n">
        <f aca="false">MAX(0,tablas!$C$3-S227)</f>
        <v>0.45</v>
      </c>
    </row>
    <row r="228" customFormat="false" ht="15" hidden="false" customHeight="false" outlineLevel="0" collapsed="false">
      <c r="A228" s="14" t="str">
        <f aca="false">base!A228</f>
        <v>46731674-1</v>
      </c>
      <c r="B228" s="14" t="str">
        <f aca="false">base!E228</f>
        <v>Outbound Premium</v>
      </c>
      <c r="C228" s="14" t="str">
        <f aca="false">base!D228</f>
        <v>Outbound</v>
      </c>
      <c r="D228" s="14" t="str">
        <f aca="false">base!F228</f>
        <v>VERONICA SANTILLAN SALAZAR</v>
      </c>
      <c r="E228" s="14" t="str">
        <f aca="false">base!G228</f>
        <v>JOSE ANGELATS AGREDA</v>
      </c>
      <c r="F228" s="14" t="n">
        <f aca="false">N(base!O228)</f>
        <v>0.75</v>
      </c>
      <c r="G228" s="4" t="n">
        <f aca="false">SUM(base!U228:AF228)+N(base!AK228)</f>
        <v>3</v>
      </c>
      <c r="H228" s="14" t="n">
        <f aca="false">N(base!S228)</f>
        <v>6</v>
      </c>
      <c r="I228" s="6" t="n">
        <f aca="false">IFERROR(G228/H228,0)</f>
        <v>0.5</v>
      </c>
      <c r="J228" s="4" t="n">
        <f aca="false">SUM(base!AG228:AJ228)</f>
        <v>0</v>
      </c>
      <c r="K228" s="5" t="n">
        <f aca="false">IFERROR((base!AG228+base!AH228)/(base!K228+base!L228),0)</f>
        <v>0</v>
      </c>
      <c r="L228" s="5" t="n">
        <f aca="false">MAX(N(base!AI228),K228*N(base!M228))</f>
        <v>0</v>
      </c>
      <c r="M228" s="5" t="n">
        <f aca="false">MAX(N(base!AJ228),K228*N(base!N228))</f>
        <v>0</v>
      </c>
      <c r="N228" s="5" t="n">
        <f aca="false">base!AG228+base!AH228+L228+M228</f>
        <v>0</v>
      </c>
      <c r="O228" s="14" t="n">
        <f aca="false">N(base!T228)</f>
        <v>3</v>
      </c>
      <c r="P228" s="6" t="n">
        <f aca="false">IFERROR(J228/O228,0)</f>
        <v>0</v>
      </c>
      <c r="Q228" s="6" t="n">
        <f aca="false">IFERROR(N228/O228,0)</f>
        <v>0</v>
      </c>
      <c r="R228" s="6" t="n">
        <f aca="false">Parametros!$B$3*I228+Parametros!$B$4*P228</f>
        <v>0.35</v>
      </c>
      <c r="S228" s="6" t="n">
        <f aca="false">Parametros!$B$3*I228+Parametros!$B$4*Q228</f>
        <v>0.35</v>
      </c>
      <c r="T228" s="4" t="str">
        <f aca="false">IF(S228&lt;tablas!$C$3,"No activa",INDEX(tablas!$B$3:$B$8,MATCH(S228,tablas!$C$3:$C$8,1)))</f>
        <v>No activa</v>
      </c>
      <c r="U228" s="15" t="n">
        <f aca="false">IF(S228&lt;tablas!$C$3,0,INDEX(tablas!$D$3:$D$8,MATCH(S228,tablas!$C$3:$C$8,1)))</f>
        <v>0</v>
      </c>
      <c r="V228" s="16" t="n">
        <f aca="false">N(base!AQ228)</f>
        <v>900</v>
      </c>
      <c r="W228" s="7" t="n">
        <f aca="false">U228*V228</f>
        <v>0</v>
      </c>
      <c r="X228" s="4" t="str">
        <f aca="false">IF(R228&lt;tablas!$C$3,"No activa",INDEX(tablas!$B$3:$B$8,MATCH(R228,tablas!$C$3:$C$8,1)))</f>
        <v>No activa</v>
      </c>
      <c r="Y228" s="7" t="n">
        <f aca="false">IF(R228&lt;tablas!$C$3,0,INDEX(tablas!$D$3:$D$8,MATCH(R228,tablas!$C$3:$C$8,1)))*V228</f>
        <v>0</v>
      </c>
      <c r="Z228" s="4" t="str">
        <f aca="false">IF(S228&gt;=tablas!$C$3,"Activa",IF(S228&gt;=Parametros!$B$5,"Cerca","No activa"))</f>
        <v>No activa</v>
      </c>
      <c r="AA228" s="6" t="n">
        <f aca="false">MAX(0,tablas!$C$3-S228)</f>
        <v>0.45</v>
      </c>
    </row>
    <row r="229" customFormat="false" ht="15" hidden="false" customHeight="false" outlineLevel="0" collapsed="false">
      <c r="A229" s="14" t="str">
        <f aca="false">base!A229</f>
        <v>43460030-3</v>
      </c>
      <c r="B229" s="14" t="str">
        <f aca="false">base!E229</f>
        <v>Outbound Premium</v>
      </c>
      <c r="C229" s="14" t="str">
        <f aca="false">base!D229</f>
        <v>Outbound</v>
      </c>
      <c r="D229" s="14" t="str">
        <f aca="false">base!F229</f>
        <v>VERONICA SANTILLAN SALAZAR</v>
      </c>
      <c r="E229" s="14" t="str">
        <f aca="false">base!G229</f>
        <v>JOSE ANGELATS AGREDA</v>
      </c>
      <c r="F229" s="14" t="n">
        <f aca="false">N(base!O229)</f>
        <v>1</v>
      </c>
      <c r="G229" s="4" t="n">
        <f aca="false">SUM(base!U229:AF229)+N(base!AK229)</f>
        <v>7</v>
      </c>
      <c r="H229" s="14" t="n">
        <f aca="false">N(base!S229)</f>
        <v>8</v>
      </c>
      <c r="I229" s="6" t="n">
        <f aca="false">IFERROR(G229/H229,0)</f>
        <v>0.875</v>
      </c>
      <c r="J229" s="4" t="n">
        <f aca="false">SUM(base!AG229:AJ229)</f>
        <v>0</v>
      </c>
      <c r="K229" s="5" t="n">
        <f aca="false">IFERROR((base!AG229+base!AH229)/(base!K229+base!L229),0)</f>
        <v>0</v>
      </c>
      <c r="L229" s="5" t="n">
        <f aca="false">MAX(N(base!AI229),K229*N(base!M229))</f>
        <v>0</v>
      </c>
      <c r="M229" s="5" t="n">
        <f aca="false">MAX(N(base!AJ229),K229*N(base!N229))</f>
        <v>0</v>
      </c>
      <c r="N229" s="5" t="n">
        <f aca="false">base!AG229+base!AH229+L229+M229</f>
        <v>0</v>
      </c>
      <c r="O229" s="14" t="n">
        <f aca="false">N(base!T229)</f>
        <v>3</v>
      </c>
      <c r="P229" s="6" t="n">
        <f aca="false">IFERROR(J229/O229,0)</f>
        <v>0</v>
      </c>
      <c r="Q229" s="6" t="n">
        <f aca="false">IFERROR(N229/O229,0)</f>
        <v>0</v>
      </c>
      <c r="R229" s="6" t="n">
        <f aca="false">Parametros!$B$3*I229+Parametros!$B$4*P229</f>
        <v>0.6125</v>
      </c>
      <c r="S229" s="6" t="n">
        <f aca="false">Parametros!$B$3*I229+Parametros!$B$4*Q229</f>
        <v>0.6125</v>
      </c>
      <c r="T229" s="4" t="str">
        <f aca="false">IF(S229&lt;tablas!$C$3,"No activa",INDEX(tablas!$B$3:$B$8,MATCH(S229,tablas!$C$3:$C$8,1)))</f>
        <v>No activa</v>
      </c>
      <c r="U229" s="15" t="n">
        <f aca="false">IF(S229&lt;tablas!$C$3,0,INDEX(tablas!$D$3:$D$8,MATCH(S229,tablas!$C$3:$C$8,1)))</f>
        <v>0</v>
      </c>
      <c r="V229" s="16" t="n">
        <f aca="false">N(base!AQ229)</f>
        <v>1200</v>
      </c>
      <c r="W229" s="7" t="n">
        <f aca="false">U229*V229</f>
        <v>0</v>
      </c>
      <c r="X229" s="4" t="str">
        <f aca="false">IF(R229&lt;tablas!$C$3,"No activa",INDEX(tablas!$B$3:$B$8,MATCH(R229,tablas!$C$3:$C$8,1)))</f>
        <v>No activa</v>
      </c>
      <c r="Y229" s="7" t="n">
        <f aca="false">IF(R229&lt;tablas!$C$3,0,INDEX(tablas!$D$3:$D$8,MATCH(R229,tablas!$C$3:$C$8,1)))*V229</f>
        <v>0</v>
      </c>
      <c r="Z229" s="4" t="str">
        <f aca="false">IF(S229&gt;=tablas!$C$3,"Activa",IF(S229&gt;=Parametros!$B$5,"Cerca","No activa"))</f>
        <v>No activa</v>
      </c>
      <c r="AA229" s="6" t="n">
        <f aca="false">MAX(0,tablas!$C$3-S229)</f>
        <v>0.1875</v>
      </c>
    </row>
    <row r="230" customFormat="false" ht="15" hidden="false" customHeight="false" outlineLevel="0" collapsed="false">
      <c r="A230" s="14" t="str">
        <f aca="false">base!A230</f>
        <v>70778165-9</v>
      </c>
      <c r="B230" s="14" t="str">
        <f aca="false">base!E230</f>
        <v>Outbound Premium</v>
      </c>
      <c r="C230" s="14" t="str">
        <f aca="false">base!D230</f>
        <v>Outbound</v>
      </c>
      <c r="D230" s="14" t="str">
        <f aca="false">base!F230</f>
        <v>VERONICA SANTILLAN SALAZAR</v>
      </c>
      <c r="E230" s="14" t="str">
        <f aca="false">base!G230</f>
        <v>JOSE ANGELATS AGREDA</v>
      </c>
      <c r="F230" s="14" t="n">
        <f aca="false">N(base!O230)</f>
        <v>1</v>
      </c>
      <c r="G230" s="4" t="n">
        <f aca="false">SUM(base!U230:AF230)+N(base!AK230)</f>
        <v>0</v>
      </c>
      <c r="H230" s="14" t="n">
        <f aca="false">N(base!S230)</f>
        <v>8</v>
      </c>
      <c r="I230" s="6" t="n">
        <f aca="false">IFERROR(G230/H230,0)</f>
        <v>0</v>
      </c>
      <c r="J230" s="4" t="n">
        <f aca="false">SUM(base!AG230:AJ230)</f>
        <v>0</v>
      </c>
      <c r="K230" s="5" t="n">
        <f aca="false">IFERROR((base!AG230+base!AH230)/(base!K230+base!L230),0)</f>
        <v>0</v>
      </c>
      <c r="L230" s="5" t="n">
        <f aca="false">MAX(N(base!AI230),K230*N(base!M230))</f>
        <v>0</v>
      </c>
      <c r="M230" s="5" t="n">
        <f aca="false">MAX(N(base!AJ230),K230*N(base!N230))</f>
        <v>0</v>
      </c>
      <c r="N230" s="5" t="n">
        <f aca="false">base!AG230+base!AH230+L230+M230</f>
        <v>0</v>
      </c>
      <c r="O230" s="14" t="n">
        <f aca="false">N(base!T230)</f>
        <v>2</v>
      </c>
      <c r="P230" s="6" t="n">
        <f aca="false">IFERROR(J230/O230,0)</f>
        <v>0</v>
      </c>
      <c r="Q230" s="6" t="n">
        <f aca="false">IFERROR(N230/O230,0)</f>
        <v>0</v>
      </c>
      <c r="R230" s="6" t="n">
        <f aca="false">Parametros!$B$3*I230+Parametros!$B$4*P230</f>
        <v>0</v>
      </c>
      <c r="S230" s="6" t="n">
        <f aca="false">Parametros!$B$3*I230+Parametros!$B$4*Q230</f>
        <v>0</v>
      </c>
      <c r="T230" s="4" t="str">
        <f aca="false">IF(S230&lt;tablas!$C$3,"No activa",INDEX(tablas!$B$3:$B$8,MATCH(S230,tablas!$C$3:$C$8,1)))</f>
        <v>No activa</v>
      </c>
      <c r="U230" s="15" t="n">
        <f aca="false">IF(S230&lt;tablas!$C$3,0,INDEX(tablas!$D$3:$D$8,MATCH(S230,tablas!$C$3:$C$8,1)))</f>
        <v>0</v>
      </c>
      <c r="V230" s="16" t="n">
        <f aca="false">N(base!AQ230)</f>
        <v>1200</v>
      </c>
      <c r="W230" s="7" t="n">
        <f aca="false">U230*V230</f>
        <v>0</v>
      </c>
      <c r="X230" s="4" t="str">
        <f aca="false">IF(R230&lt;tablas!$C$3,"No activa",INDEX(tablas!$B$3:$B$8,MATCH(R230,tablas!$C$3:$C$8,1)))</f>
        <v>No activa</v>
      </c>
      <c r="Y230" s="7" t="n">
        <f aca="false">IF(R230&lt;tablas!$C$3,0,INDEX(tablas!$D$3:$D$8,MATCH(R230,tablas!$C$3:$C$8,1)))*V230</f>
        <v>0</v>
      </c>
      <c r="Z230" s="4" t="str">
        <f aca="false">IF(S230&gt;=tablas!$C$3,"Activa",IF(S230&gt;=Parametros!$B$5,"Cerca","No activa"))</f>
        <v>No activa</v>
      </c>
      <c r="AA230" s="6" t="n">
        <f aca="false">MAX(0,tablas!$C$3-S230)</f>
        <v>0.8</v>
      </c>
    </row>
    <row r="231" customFormat="false" ht="15" hidden="false" customHeight="false" outlineLevel="0" collapsed="false">
      <c r="A231" s="14" t="str">
        <f aca="false">base!A231</f>
        <v>72329577-2</v>
      </c>
      <c r="B231" s="14" t="str">
        <f aca="false">base!E231</f>
        <v>Outbound Premium</v>
      </c>
      <c r="C231" s="14" t="str">
        <f aca="false">base!D231</f>
        <v>Outbound</v>
      </c>
      <c r="D231" s="14" t="str">
        <f aca="false">base!F231</f>
        <v>VERONICA SANTILLAN SALAZAR</v>
      </c>
      <c r="E231" s="14" t="str">
        <f aca="false">base!G231</f>
        <v>JOSE ANGELATS AGREDA</v>
      </c>
      <c r="F231" s="14" t="n">
        <f aca="false">N(base!O231)</f>
        <v>1</v>
      </c>
      <c r="G231" s="4" t="n">
        <f aca="false">SUM(base!U231:AF231)+N(base!AK231)</f>
        <v>0</v>
      </c>
      <c r="H231" s="14" t="n">
        <f aca="false">N(base!S231)</f>
        <v>8</v>
      </c>
      <c r="I231" s="6" t="n">
        <f aca="false">IFERROR(G231/H231,0)</f>
        <v>0</v>
      </c>
      <c r="J231" s="4" t="n">
        <f aca="false">SUM(base!AG231:AJ231)</f>
        <v>0</v>
      </c>
      <c r="K231" s="5" t="n">
        <f aca="false">IFERROR((base!AG231+base!AH231)/(base!K231+base!L231),0)</f>
        <v>0</v>
      </c>
      <c r="L231" s="5" t="n">
        <f aca="false">MAX(N(base!AI231),K231*N(base!M231))</f>
        <v>0</v>
      </c>
      <c r="M231" s="5" t="n">
        <f aca="false">MAX(N(base!AJ231),K231*N(base!N231))</f>
        <v>0</v>
      </c>
      <c r="N231" s="5" t="n">
        <f aca="false">base!AG231+base!AH231+L231+M231</f>
        <v>0</v>
      </c>
      <c r="O231" s="14" t="n">
        <f aca="false">N(base!T231)</f>
        <v>3</v>
      </c>
      <c r="P231" s="6" t="n">
        <f aca="false">IFERROR(J231/O231,0)</f>
        <v>0</v>
      </c>
      <c r="Q231" s="6" t="n">
        <f aca="false">IFERROR(N231/O231,0)</f>
        <v>0</v>
      </c>
      <c r="R231" s="6" t="n">
        <f aca="false">Parametros!$B$3*I231+Parametros!$B$4*P231</f>
        <v>0</v>
      </c>
      <c r="S231" s="6" t="n">
        <f aca="false">Parametros!$B$3*I231+Parametros!$B$4*Q231</f>
        <v>0</v>
      </c>
      <c r="T231" s="4" t="str">
        <f aca="false">IF(S231&lt;tablas!$C$3,"No activa",INDEX(tablas!$B$3:$B$8,MATCH(S231,tablas!$C$3:$C$8,1)))</f>
        <v>No activa</v>
      </c>
      <c r="U231" s="15" t="n">
        <f aca="false">IF(S231&lt;tablas!$C$3,0,INDEX(tablas!$D$3:$D$8,MATCH(S231,tablas!$C$3:$C$8,1)))</f>
        <v>0</v>
      </c>
      <c r="V231" s="16" t="n">
        <f aca="false">N(base!AQ231)</f>
        <v>1200</v>
      </c>
      <c r="W231" s="7" t="n">
        <f aca="false">U231*V231</f>
        <v>0</v>
      </c>
      <c r="X231" s="4" t="str">
        <f aca="false">IF(R231&lt;tablas!$C$3,"No activa",INDEX(tablas!$B$3:$B$8,MATCH(R231,tablas!$C$3:$C$8,1)))</f>
        <v>No activa</v>
      </c>
      <c r="Y231" s="7" t="n">
        <f aca="false">IF(R231&lt;tablas!$C$3,0,INDEX(tablas!$D$3:$D$8,MATCH(R231,tablas!$C$3:$C$8,1)))*V231</f>
        <v>0</v>
      </c>
      <c r="Z231" s="4" t="str">
        <f aca="false">IF(S231&gt;=tablas!$C$3,"Activa",IF(S231&gt;=Parametros!$B$5,"Cerca","No activa"))</f>
        <v>No activa</v>
      </c>
      <c r="AA231" s="6" t="n">
        <f aca="false">MAX(0,tablas!$C$3-S231)</f>
        <v>0.8</v>
      </c>
    </row>
    <row r="232" customFormat="false" ht="15" hidden="false" customHeight="false" outlineLevel="0" collapsed="false">
      <c r="A232" s="14" t="str">
        <f aca="false">base!A232</f>
        <v>74160702-1</v>
      </c>
      <c r="B232" s="14" t="str">
        <f aca="false">base!E232</f>
        <v>Outbound Premium</v>
      </c>
      <c r="C232" s="14" t="str">
        <f aca="false">base!D232</f>
        <v>Outbound</v>
      </c>
      <c r="D232" s="14" t="str">
        <f aca="false">base!F232</f>
        <v>VERONICA SANTILLAN SALAZAR</v>
      </c>
      <c r="E232" s="14" t="str">
        <f aca="false">base!G232</f>
        <v>JOSE ANGELATS AGREDA</v>
      </c>
      <c r="F232" s="14" t="n">
        <f aca="false">N(base!O232)</f>
        <v>1</v>
      </c>
      <c r="G232" s="4" t="n">
        <f aca="false">SUM(base!U232:AF232)+N(base!AK232)</f>
        <v>0</v>
      </c>
      <c r="H232" s="14" t="n">
        <f aca="false">N(base!S232)</f>
        <v>8</v>
      </c>
      <c r="I232" s="6" t="n">
        <f aca="false">IFERROR(G232/H232,0)</f>
        <v>0</v>
      </c>
      <c r="J232" s="4" t="n">
        <f aca="false">SUM(base!AG232:AJ232)</f>
        <v>1</v>
      </c>
      <c r="K232" s="5" t="n">
        <f aca="false">IFERROR((base!AG232+base!AH232)/(base!K232+base!L232),0)</f>
        <v>0.5</v>
      </c>
      <c r="L232" s="5" t="n">
        <f aca="false">MAX(N(base!AI232),K232*N(base!M232))</f>
        <v>0.5</v>
      </c>
      <c r="M232" s="5" t="n">
        <f aca="false">MAX(N(base!AJ232),K232*N(base!N232))</f>
        <v>0.5</v>
      </c>
      <c r="N232" s="5" t="n">
        <f aca="false">base!AG232+base!AH232+L232+M232</f>
        <v>2</v>
      </c>
      <c r="O232" s="14" t="n">
        <f aca="false">N(base!T232)</f>
        <v>3</v>
      </c>
      <c r="P232" s="6" t="n">
        <f aca="false">IFERROR(J232/O232,0)</f>
        <v>0.333333333333333</v>
      </c>
      <c r="Q232" s="6" t="n">
        <f aca="false">IFERROR(N232/O232,0)</f>
        <v>0.666666666666667</v>
      </c>
      <c r="R232" s="6" t="n">
        <f aca="false">Parametros!$B$3*I232+Parametros!$B$4*P232</f>
        <v>0.1</v>
      </c>
      <c r="S232" s="6" t="n">
        <f aca="false">Parametros!$B$3*I232+Parametros!$B$4*Q232</f>
        <v>0.2</v>
      </c>
      <c r="T232" s="4" t="str">
        <f aca="false">IF(S232&lt;tablas!$C$3,"No activa",INDEX(tablas!$B$3:$B$8,MATCH(S232,tablas!$C$3:$C$8,1)))</f>
        <v>No activa</v>
      </c>
      <c r="U232" s="15" t="n">
        <f aca="false">IF(S232&lt;tablas!$C$3,0,INDEX(tablas!$D$3:$D$8,MATCH(S232,tablas!$C$3:$C$8,1)))</f>
        <v>0</v>
      </c>
      <c r="V232" s="16" t="n">
        <f aca="false">N(base!AQ232)</f>
        <v>1200</v>
      </c>
      <c r="W232" s="7" t="n">
        <f aca="false">U232*V232</f>
        <v>0</v>
      </c>
      <c r="X232" s="4" t="str">
        <f aca="false">IF(R232&lt;tablas!$C$3,"No activa",INDEX(tablas!$B$3:$B$8,MATCH(R232,tablas!$C$3:$C$8,1)))</f>
        <v>No activa</v>
      </c>
      <c r="Y232" s="7" t="n">
        <f aca="false">IF(R232&lt;tablas!$C$3,0,INDEX(tablas!$D$3:$D$8,MATCH(R232,tablas!$C$3:$C$8,1)))*V232</f>
        <v>0</v>
      </c>
      <c r="Z232" s="4" t="str">
        <f aca="false">IF(S232&gt;=tablas!$C$3,"Activa",IF(S232&gt;=Parametros!$B$5,"Cerca","No activa"))</f>
        <v>No activa</v>
      </c>
      <c r="AA232" s="6" t="n">
        <f aca="false">MAX(0,tablas!$C$3-S232)</f>
        <v>0.6</v>
      </c>
    </row>
    <row r="233" customFormat="false" ht="15" hidden="false" customHeight="false" outlineLevel="0" collapsed="false">
      <c r="A233" s="14" t="str">
        <f aca="false">base!A233</f>
        <v>70902325-5</v>
      </c>
      <c r="B233" s="14" t="str">
        <f aca="false">base!E233</f>
        <v>Outbound Premium</v>
      </c>
      <c r="C233" s="14" t="str">
        <f aca="false">base!D233</f>
        <v>Outbound</v>
      </c>
      <c r="D233" s="14" t="str">
        <f aca="false">base!F233</f>
        <v>VERONICA SANTILLAN SALAZAR</v>
      </c>
      <c r="E233" s="14" t="str">
        <f aca="false">base!G233</f>
        <v>JOSE ANGELATS AGREDA</v>
      </c>
      <c r="F233" s="14" t="n">
        <f aca="false">N(base!O233)</f>
        <v>0.5</v>
      </c>
      <c r="G233" s="4" t="n">
        <f aca="false">SUM(base!U233:AF233)+N(base!AK233)</f>
        <v>2</v>
      </c>
      <c r="H233" s="14" t="n">
        <f aca="false">N(base!S233)</f>
        <v>4</v>
      </c>
      <c r="I233" s="6" t="n">
        <f aca="false">IFERROR(G233/H233,0)</f>
        <v>0.5</v>
      </c>
      <c r="J233" s="4" t="n">
        <f aca="false">SUM(base!AG233:AJ233)</f>
        <v>0</v>
      </c>
      <c r="K233" s="5" t="n">
        <f aca="false">IFERROR((base!AG233+base!AH233)/(base!K233+base!L233),0)</f>
        <v>0</v>
      </c>
      <c r="L233" s="5" t="n">
        <f aca="false">MAX(N(base!AI233),K233*N(base!M233))</f>
        <v>0</v>
      </c>
      <c r="M233" s="5" t="n">
        <f aca="false">MAX(N(base!AJ233),K233*N(base!N233))</f>
        <v>0</v>
      </c>
      <c r="N233" s="5" t="n">
        <f aca="false">base!AG233+base!AH233+L233+M233</f>
        <v>0</v>
      </c>
      <c r="O233" s="14" t="n">
        <f aca="false">N(base!T233)</f>
        <v>2</v>
      </c>
      <c r="P233" s="6" t="n">
        <f aca="false">IFERROR(J233/O233,0)</f>
        <v>0</v>
      </c>
      <c r="Q233" s="6" t="n">
        <f aca="false">IFERROR(N233/O233,0)</f>
        <v>0</v>
      </c>
      <c r="R233" s="6" t="n">
        <f aca="false">Parametros!$B$3*I233+Parametros!$B$4*P233</f>
        <v>0.35</v>
      </c>
      <c r="S233" s="6" t="n">
        <f aca="false">Parametros!$B$3*I233+Parametros!$B$4*Q233</f>
        <v>0.35</v>
      </c>
      <c r="T233" s="4" t="str">
        <f aca="false">IF(S233&lt;tablas!$C$3,"No activa",INDEX(tablas!$B$3:$B$8,MATCH(S233,tablas!$C$3:$C$8,1)))</f>
        <v>No activa</v>
      </c>
      <c r="U233" s="15" t="n">
        <f aca="false">IF(S233&lt;tablas!$C$3,0,INDEX(tablas!$D$3:$D$8,MATCH(S233,tablas!$C$3:$C$8,1)))</f>
        <v>0</v>
      </c>
      <c r="V233" s="16" t="n">
        <f aca="false">N(base!AQ233)</f>
        <v>600</v>
      </c>
      <c r="W233" s="7" t="n">
        <f aca="false">U233*V233</f>
        <v>0</v>
      </c>
      <c r="X233" s="4" t="str">
        <f aca="false">IF(R233&lt;tablas!$C$3,"No activa",INDEX(tablas!$B$3:$B$8,MATCH(R233,tablas!$C$3:$C$8,1)))</f>
        <v>No activa</v>
      </c>
      <c r="Y233" s="7" t="n">
        <f aca="false">IF(R233&lt;tablas!$C$3,0,INDEX(tablas!$D$3:$D$8,MATCH(R233,tablas!$C$3:$C$8,1)))*V233</f>
        <v>0</v>
      </c>
      <c r="Z233" s="4" t="str">
        <f aca="false">IF(S233&gt;=tablas!$C$3,"Activa",IF(S233&gt;=Parametros!$B$5,"Cerca","No activa"))</f>
        <v>No activa</v>
      </c>
      <c r="AA233" s="6" t="n">
        <f aca="false">MAX(0,tablas!$C$3-S233)</f>
        <v>0.45</v>
      </c>
    </row>
    <row r="234" customFormat="false" ht="15" hidden="false" customHeight="false" outlineLevel="0" collapsed="false">
      <c r="A234" s="14" t="str">
        <f aca="false">base!A234</f>
        <v>41514162-4</v>
      </c>
      <c r="B234" s="14" t="str">
        <f aca="false">base!E234</f>
        <v>Outbound Premium</v>
      </c>
      <c r="C234" s="14" t="str">
        <f aca="false">base!D234</f>
        <v>Outbound</v>
      </c>
      <c r="D234" s="14" t="str">
        <f aca="false">base!F234</f>
        <v>VERONICA SANTILLAN SALAZAR</v>
      </c>
      <c r="E234" s="14" t="str">
        <f aca="false">base!G234</f>
        <v>JOSE ANGELATS AGREDA</v>
      </c>
      <c r="F234" s="14" t="n">
        <f aca="false">N(base!O234)</f>
        <v>0.5</v>
      </c>
      <c r="G234" s="4" t="n">
        <f aca="false">SUM(base!U234:AF234)+N(base!AK234)</f>
        <v>3</v>
      </c>
      <c r="H234" s="14" t="n">
        <f aca="false">N(base!S234)</f>
        <v>4</v>
      </c>
      <c r="I234" s="6" t="n">
        <f aca="false">IFERROR(G234/H234,0)</f>
        <v>0.75</v>
      </c>
      <c r="J234" s="4" t="n">
        <f aca="false">SUM(base!AG234:AJ234)</f>
        <v>0</v>
      </c>
      <c r="K234" s="5" t="n">
        <f aca="false">IFERROR((base!AG234+base!AH234)/(base!K234+base!L234),0)</f>
        <v>0</v>
      </c>
      <c r="L234" s="5" t="n">
        <f aca="false">MAX(N(base!AI234),K234*N(base!M234))</f>
        <v>0</v>
      </c>
      <c r="M234" s="5" t="n">
        <f aca="false">MAX(N(base!AJ234),K234*N(base!N234))</f>
        <v>0</v>
      </c>
      <c r="N234" s="5" t="n">
        <f aca="false">base!AG234+base!AH234+L234+M234</f>
        <v>0</v>
      </c>
      <c r="O234" s="14" t="n">
        <f aca="false">N(base!T234)</f>
        <v>1</v>
      </c>
      <c r="P234" s="6" t="n">
        <f aca="false">IFERROR(J234/O234,0)</f>
        <v>0</v>
      </c>
      <c r="Q234" s="6" t="n">
        <f aca="false">IFERROR(N234/O234,0)</f>
        <v>0</v>
      </c>
      <c r="R234" s="6" t="n">
        <f aca="false">Parametros!$B$3*I234+Parametros!$B$4*P234</f>
        <v>0.525</v>
      </c>
      <c r="S234" s="6" t="n">
        <f aca="false">Parametros!$B$3*I234+Parametros!$B$4*Q234</f>
        <v>0.525</v>
      </c>
      <c r="T234" s="4" t="str">
        <f aca="false">IF(S234&lt;tablas!$C$3,"No activa",INDEX(tablas!$B$3:$B$8,MATCH(S234,tablas!$C$3:$C$8,1)))</f>
        <v>No activa</v>
      </c>
      <c r="U234" s="15" t="n">
        <f aca="false">IF(S234&lt;tablas!$C$3,0,INDEX(tablas!$D$3:$D$8,MATCH(S234,tablas!$C$3:$C$8,1)))</f>
        <v>0</v>
      </c>
      <c r="V234" s="16" t="n">
        <f aca="false">N(base!AQ234)</f>
        <v>600</v>
      </c>
      <c r="W234" s="7" t="n">
        <f aca="false">U234*V234</f>
        <v>0</v>
      </c>
      <c r="X234" s="4" t="str">
        <f aca="false">IF(R234&lt;tablas!$C$3,"No activa",INDEX(tablas!$B$3:$B$8,MATCH(R234,tablas!$C$3:$C$8,1)))</f>
        <v>No activa</v>
      </c>
      <c r="Y234" s="7" t="n">
        <f aca="false">IF(R234&lt;tablas!$C$3,0,INDEX(tablas!$D$3:$D$8,MATCH(R234,tablas!$C$3:$C$8,1)))*V234</f>
        <v>0</v>
      </c>
      <c r="Z234" s="4" t="str">
        <f aca="false">IF(S234&gt;=tablas!$C$3,"Activa",IF(S234&gt;=Parametros!$B$5,"Cerca","No activa"))</f>
        <v>No activa</v>
      </c>
      <c r="AA234" s="6" t="n">
        <f aca="false">MAX(0,tablas!$C$3-S234)</f>
        <v>0.275</v>
      </c>
    </row>
    <row r="235" customFormat="false" ht="15" hidden="false" customHeight="false" outlineLevel="0" collapsed="false">
      <c r="A235" s="14" t="str">
        <f aca="false">base!A235</f>
        <v>76449200-1</v>
      </c>
      <c r="B235" s="14" t="str">
        <f aca="false">base!E235</f>
        <v>Outbound Premium</v>
      </c>
      <c r="C235" s="14" t="str">
        <f aca="false">base!D235</f>
        <v>Outbound</v>
      </c>
      <c r="D235" s="14" t="str">
        <f aca="false">base!F235</f>
        <v>VERONICA SANTILLAN SALAZAR</v>
      </c>
      <c r="E235" s="14" t="str">
        <f aca="false">base!G235</f>
        <v>JOSE ANGELATS AGREDA</v>
      </c>
      <c r="F235" s="14" t="n">
        <f aca="false">N(base!O235)</f>
        <v>1</v>
      </c>
      <c r="G235" s="4" t="n">
        <f aca="false">SUM(base!U235:AF235)+N(base!AK235)</f>
        <v>15</v>
      </c>
      <c r="H235" s="14" t="n">
        <f aca="false">N(base!S235)</f>
        <v>8</v>
      </c>
      <c r="I235" s="6" t="n">
        <f aca="false">IFERROR(G235/H235,0)</f>
        <v>1.875</v>
      </c>
      <c r="J235" s="4" t="n">
        <f aca="false">SUM(base!AG235:AJ235)</f>
        <v>0</v>
      </c>
      <c r="K235" s="5" t="n">
        <f aca="false">IFERROR((base!AG235+base!AH235)/(base!K235+base!L235),0)</f>
        <v>0</v>
      </c>
      <c r="L235" s="5" t="n">
        <f aca="false">MAX(N(base!AI235),K235*N(base!M235))</f>
        <v>0</v>
      </c>
      <c r="M235" s="5" t="n">
        <f aca="false">MAX(N(base!AJ235),K235*N(base!N235))</f>
        <v>0</v>
      </c>
      <c r="N235" s="5" t="n">
        <f aca="false">base!AG235+base!AH235+L235+M235</f>
        <v>0</v>
      </c>
      <c r="O235" s="14" t="n">
        <f aca="false">N(base!T235)</f>
        <v>3</v>
      </c>
      <c r="P235" s="6" t="n">
        <f aca="false">IFERROR(J235/O235,0)</f>
        <v>0</v>
      </c>
      <c r="Q235" s="6" t="n">
        <f aca="false">IFERROR(N235/O235,0)</f>
        <v>0</v>
      </c>
      <c r="R235" s="6" t="n">
        <f aca="false">Parametros!$B$3*I235+Parametros!$B$4*P235</f>
        <v>1.3125</v>
      </c>
      <c r="S235" s="6" t="n">
        <f aca="false">Parametros!$B$3*I235+Parametros!$B$4*Q235</f>
        <v>1.3125</v>
      </c>
      <c r="T235" s="4" t="str">
        <f aca="false">IF(S235&lt;tablas!$C$3,"No activa",INDEX(tablas!$B$3:$B$8,MATCH(S235,tablas!$C$3:$C$8,1)))</f>
        <v>N6</v>
      </c>
      <c r="U235" s="15" t="n">
        <f aca="false">IF(S235&lt;tablas!$C$3,0,INDEX(tablas!$D$3:$D$8,MATCH(S235,tablas!$C$3:$C$8,1)))</f>
        <v>2</v>
      </c>
      <c r="V235" s="16" t="n">
        <f aca="false">N(base!AQ235)</f>
        <v>1200</v>
      </c>
      <c r="W235" s="7" t="n">
        <f aca="false">U235*V235</f>
        <v>2400</v>
      </c>
      <c r="X235" s="4" t="str">
        <f aca="false">IF(R235&lt;tablas!$C$3,"No activa",INDEX(tablas!$B$3:$B$8,MATCH(R235,tablas!$C$3:$C$8,1)))</f>
        <v>N6</v>
      </c>
      <c r="Y235" s="7" t="n">
        <f aca="false">IF(R235&lt;tablas!$C$3,0,INDEX(tablas!$D$3:$D$8,MATCH(R235,tablas!$C$3:$C$8,1)))*V235</f>
        <v>2400</v>
      </c>
      <c r="Z235" s="4" t="str">
        <f aca="false">IF(S235&gt;=tablas!$C$3,"Activa",IF(S235&gt;=Parametros!$B$5,"Cerca","No activa"))</f>
        <v>Activa</v>
      </c>
      <c r="AA235" s="6" t="n">
        <f aca="false">MAX(0,tablas!$C$3-S235)</f>
        <v>0</v>
      </c>
    </row>
    <row r="236" customFormat="false" ht="15" hidden="false" customHeight="false" outlineLevel="0" collapsed="false">
      <c r="A236" s="14" t="str">
        <f aca="false">base!A236</f>
        <v>45021034-5</v>
      </c>
      <c r="B236" s="14" t="str">
        <f aca="false">base!E236</f>
        <v>Outbound Premium</v>
      </c>
      <c r="C236" s="14" t="str">
        <f aca="false">base!D236</f>
        <v>Outbound</v>
      </c>
      <c r="D236" s="14" t="str">
        <f aca="false">base!F236</f>
        <v>VERONICA SANTILLAN SALAZAR</v>
      </c>
      <c r="E236" s="14" t="str">
        <f aca="false">base!G236</f>
        <v>JOSE ANGELATS AGREDA</v>
      </c>
      <c r="F236" s="14" t="n">
        <f aca="false">N(base!O236)</f>
        <v>1</v>
      </c>
      <c r="G236" s="4" t="n">
        <f aca="false">SUM(base!U236:AF236)+N(base!AK236)</f>
        <v>0</v>
      </c>
      <c r="H236" s="14" t="n">
        <f aca="false">N(base!S236)</f>
        <v>8</v>
      </c>
      <c r="I236" s="6" t="n">
        <f aca="false">IFERROR(G236/H236,0)</f>
        <v>0</v>
      </c>
      <c r="J236" s="4" t="n">
        <f aca="false">SUM(base!AG236:AJ236)</f>
        <v>0</v>
      </c>
      <c r="K236" s="5" t="n">
        <f aca="false">IFERROR((base!AG236+base!AH236)/(base!K236+base!L236),0)</f>
        <v>0</v>
      </c>
      <c r="L236" s="5" t="n">
        <f aca="false">MAX(N(base!AI236),K236*N(base!M236))</f>
        <v>0</v>
      </c>
      <c r="M236" s="5" t="n">
        <f aca="false">MAX(N(base!AJ236),K236*N(base!N236))</f>
        <v>0</v>
      </c>
      <c r="N236" s="5" t="n">
        <f aca="false">base!AG236+base!AH236+L236+M236</f>
        <v>0</v>
      </c>
      <c r="O236" s="14" t="n">
        <f aca="false">N(base!T236)</f>
        <v>4</v>
      </c>
      <c r="P236" s="6" t="n">
        <f aca="false">IFERROR(J236/O236,0)</f>
        <v>0</v>
      </c>
      <c r="Q236" s="6" t="n">
        <f aca="false">IFERROR(N236/O236,0)</f>
        <v>0</v>
      </c>
      <c r="R236" s="6" t="n">
        <f aca="false">Parametros!$B$3*I236+Parametros!$B$4*P236</f>
        <v>0</v>
      </c>
      <c r="S236" s="6" t="n">
        <f aca="false">Parametros!$B$3*I236+Parametros!$B$4*Q236</f>
        <v>0</v>
      </c>
      <c r="T236" s="4" t="str">
        <f aca="false">IF(S236&lt;tablas!$C$3,"No activa",INDEX(tablas!$B$3:$B$8,MATCH(S236,tablas!$C$3:$C$8,1)))</f>
        <v>No activa</v>
      </c>
      <c r="U236" s="15" t="n">
        <f aca="false">IF(S236&lt;tablas!$C$3,0,INDEX(tablas!$D$3:$D$8,MATCH(S236,tablas!$C$3:$C$8,1)))</f>
        <v>0</v>
      </c>
      <c r="V236" s="16" t="n">
        <f aca="false">N(base!AQ236)</f>
        <v>1200</v>
      </c>
      <c r="W236" s="7" t="n">
        <f aca="false">U236*V236</f>
        <v>0</v>
      </c>
      <c r="X236" s="4" t="str">
        <f aca="false">IF(R236&lt;tablas!$C$3,"No activa",INDEX(tablas!$B$3:$B$8,MATCH(R236,tablas!$C$3:$C$8,1)))</f>
        <v>No activa</v>
      </c>
      <c r="Y236" s="7" t="n">
        <f aca="false">IF(R236&lt;tablas!$C$3,0,INDEX(tablas!$D$3:$D$8,MATCH(R236,tablas!$C$3:$C$8,1)))*V236</f>
        <v>0</v>
      </c>
      <c r="Z236" s="4" t="str">
        <f aca="false">IF(S236&gt;=tablas!$C$3,"Activa",IF(S236&gt;=Parametros!$B$5,"Cerca","No activa"))</f>
        <v>No activa</v>
      </c>
      <c r="AA236" s="6" t="n">
        <f aca="false">MAX(0,tablas!$C$3-S236)</f>
        <v>0.8</v>
      </c>
    </row>
    <row r="237" customFormat="false" ht="15" hidden="false" customHeight="false" outlineLevel="0" collapsed="false">
      <c r="A237" s="14" t="str">
        <f aca="false">base!A237</f>
        <v>73782028-4</v>
      </c>
      <c r="B237" s="14" t="str">
        <f aca="false">base!E237</f>
        <v>Lima Sur</v>
      </c>
      <c r="C237" s="14" t="str">
        <f aca="false">base!D237</f>
        <v>Outbound</v>
      </c>
      <c r="D237" s="14" t="str">
        <f aca="false">base!F237</f>
        <v>LILIANA SEJO SUAREZ</v>
      </c>
      <c r="E237" s="14" t="str">
        <f aca="false">base!G237</f>
        <v>JOSUE MORA SOLSOL</v>
      </c>
      <c r="F237" s="14" t="n">
        <f aca="false">N(base!O237)</f>
        <v>0</v>
      </c>
      <c r="G237" s="4" t="n">
        <f aca="false">SUM(base!U237:AF237)+N(base!AK237)</f>
        <v>4</v>
      </c>
      <c r="H237" s="14" t="n">
        <f aca="false">N(base!S237)</f>
        <v>5</v>
      </c>
      <c r="I237" s="6" t="n">
        <f aca="false">IFERROR(G237/H237,0)</f>
        <v>0.8</v>
      </c>
      <c r="J237" s="4" t="n">
        <f aca="false">SUM(base!AG237:AJ237)</f>
        <v>0</v>
      </c>
      <c r="K237" s="5" t="n">
        <f aca="false">IFERROR((base!AG237+base!AH237)/(base!K237+base!L237),0)</f>
        <v>0</v>
      </c>
      <c r="L237" s="5" t="n">
        <f aca="false">MAX(N(base!AI237),K237*N(base!M237))</f>
        <v>0</v>
      </c>
      <c r="M237" s="5" t="n">
        <f aca="false">MAX(N(base!AJ237),K237*N(base!N237))</f>
        <v>0</v>
      </c>
      <c r="N237" s="5" t="n">
        <f aca="false">base!AG237+base!AH237+L237+M237</f>
        <v>0</v>
      </c>
      <c r="O237" s="14" t="n">
        <f aca="false">N(base!T237)</f>
        <v>10</v>
      </c>
      <c r="P237" s="6" t="n">
        <f aca="false">IFERROR(J237/O237,0)</f>
        <v>0</v>
      </c>
      <c r="Q237" s="6" t="n">
        <f aca="false">IFERROR(N237/O237,0)</f>
        <v>0</v>
      </c>
      <c r="R237" s="6" t="n">
        <f aca="false">Parametros!$B$3*I237+Parametros!$B$4*P237</f>
        <v>0.56</v>
      </c>
      <c r="S237" s="6" t="n">
        <f aca="false">Parametros!$B$3*I237+Parametros!$B$4*Q237</f>
        <v>0.56</v>
      </c>
      <c r="T237" s="4" t="str">
        <f aca="false">IF(S237&lt;tablas!$C$3,"No activa",INDEX(tablas!$B$3:$B$8,MATCH(S237,tablas!$C$3:$C$8,1)))</f>
        <v>No activa</v>
      </c>
      <c r="U237" s="15" t="n">
        <f aca="false">IF(S237&lt;tablas!$C$3,0,INDEX(tablas!$D$3:$D$8,MATCH(S237,tablas!$C$3:$C$8,1)))</f>
        <v>0</v>
      </c>
      <c r="V237" s="16" t="n">
        <f aca="false">N(base!AQ237)</f>
        <v>0</v>
      </c>
      <c r="W237" s="7" t="n">
        <f aca="false">U237*V237</f>
        <v>0</v>
      </c>
      <c r="X237" s="4" t="str">
        <f aca="false">IF(R237&lt;tablas!$C$3,"No activa",INDEX(tablas!$B$3:$B$8,MATCH(R237,tablas!$C$3:$C$8,1)))</f>
        <v>No activa</v>
      </c>
      <c r="Y237" s="7" t="n">
        <f aca="false">IF(R237&lt;tablas!$C$3,0,INDEX(tablas!$D$3:$D$8,MATCH(R237,tablas!$C$3:$C$8,1)))*V237</f>
        <v>0</v>
      </c>
      <c r="Z237" s="4" t="str">
        <f aca="false">IF(S237&gt;=tablas!$C$3,"Activa",IF(S237&gt;=Parametros!$B$5,"Cerca","No activa"))</f>
        <v>No activa</v>
      </c>
      <c r="AA237" s="6" t="n">
        <f aca="false">MAX(0,tablas!$C$3-S237)</f>
        <v>0.24</v>
      </c>
    </row>
    <row r="238" customFormat="false" ht="15" hidden="false" customHeight="false" outlineLevel="0" collapsed="false">
      <c r="A238" s="14" t="str">
        <f aca="false">base!A238</f>
        <v>48036149-6</v>
      </c>
      <c r="B238" s="14" t="str">
        <f aca="false">base!E238</f>
        <v>Lima Sur</v>
      </c>
      <c r="C238" s="14" t="str">
        <f aca="false">base!D238</f>
        <v>Outbound</v>
      </c>
      <c r="D238" s="14" t="str">
        <f aca="false">base!F238</f>
        <v>LILIANA SEJO SUAREZ</v>
      </c>
      <c r="E238" s="14" t="str">
        <f aca="false">base!G238</f>
        <v>JOSUE MORA SOLSOL</v>
      </c>
      <c r="F238" s="14" t="n">
        <f aca="false">N(base!O238)</f>
        <v>0</v>
      </c>
      <c r="G238" s="4" t="n">
        <f aca="false">SUM(base!U238:AF238)+N(base!AK238)</f>
        <v>0</v>
      </c>
      <c r="H238" s="14" t="n">
        <f aca="false">N(base!S238)</f>
        <v>5</v>
      </c>
      <c r="I238" s="6" t="n">
        <f aca="false">IFERROR(G238/H238,0)</f>
        <v>0</v>
      </c>
      <c r="J238" s="4" t="n">
        <f aca="false">SUM(base!AG238:AJ238)</f>
        <v>0</v>
      </c>
      <c r="K238" s="5" t="n">
        <f aca="false">IFERROR((base!AG238+base!AH238)/(base!K238+base!L238),0)</f>
        <v>0</v>
      </c>
      <c r="L238" s="5" t="n">
        <f aca="false">MAX(N(base!AI238),K238*N(base!M238))</f>
        <v>0</v>
      </c>
      <c r="M238" s="5" t="n">
        <f aca="false">MAX(N(base!AJ238),K238*N(base!N238))</f>
        <v>0</v>
      </c>
      <c r="N238" s="5" t="n">
        <f aca="false">base!AG238+base!AH238+L238+M238</f>
        <v>0</v>
      </c>
      <c r="O238" s="14" t="n">
        <f aca="false">N(base!T238)</f>
        <v>3</v>
      </c>
      <c r="P238" s="6" t="n">
        <f aca="false">IFERROR(J238/O238,0)</f>
        <v>0</v>
      </c>
      <c r="Q238" s="6" t="n">
        <f aca="false">IFERROR(N238/O238,0)</f>
        <v>0</v>
      </c>
      <c r="R238" s="6" t="n">
        <f aca="false">Parametros!$B$3*I238+Parametros!$B$4*P238</f>
        <v>0</v>
      </c>
      <c r="S238" s="6" t="n">
        <f aca="false">Parametros!$B$3*I238+Parametros!$B$4*Q238</f>
        <v>0</v>
      </c>
      <c r="T238" s="4" t="str">
        <f aca="false">IF(S238&lt;tablas!$C$3,"No activa",INDEX(tablas!$B$3:$B$8,MATCH(S238,tablas!$C$3:$C$8,1)))</f>
        <v>No activa</v>
      </c>
      <c r="U238" s="15" t="n">
        <f aca="false">IF(S238&lt;tablas!$C$3,0,INDEX(tablas!$D$3:$D$8,MATCH(S238,tablas!$C$3:$C$8,1)))</f>
        <v>0</v>
      </c>
      <c r="V238" s="16" t="n">
        <f aca="false">N(base!AQ238)</f>
        <v>0</v>
      </c>
      <c r="W238" s="7" t="n">
        <f aca="false">U238*V238</f>
        <v>0</v>
      </c>
      <c r="X238" s="4" t="str">
        <f aca="false">IF(R238&lt;tablas!$C$3,"No activa",INDEX(tablas!$B$3:$B$8,MATCH(R238,tablas!$C$3:$C$8,1)))</f>
        <v>No activa</v>
      </c>
      <c r="Y238" s="7" t="n">
        <f aca="false">IF(R238&lt;tablas!$C$3,0,INDEX(tablas!$D$3:$D$8,MATCH(R238,tablas!$C$3:$C$8,1)))*V238</f>
        <v>0</v>
      </c>
      <c r="Z238" s="4" t="str">
        <f aca="false">IF(S238&gt;=tablas!$C$3,"Activa",IF(S238&gt;=Parametros!$B$5,"Cerca","No activa"))</f>
        <v>No activa</v>
      </c>
      <c r="AA238" s="6" t="n">
        <f aca="false">MAX(0,tablas!$C$3-S238)</f>
        <v>0.8</v>
      </c>
    </row>
    <row r="239" customFormat="false" ht="15" hidden="false" customHeight="false" outlineLevel="0" collapsed="false">
      <c r="A239" s="14" t="str">
        <f aca="false">base!A239</f>
        <v>76494409-2</v>
      </c>
      <c r="B239" s="14" t="str">
        <f aca="false">base!E239</f>
        <v>Lima Sur</v>
      </c>
      <c r="C239" s="14" t="str">
        <f aca="false">base!D239</f>
        <v>Outbound</v>
      </c>
      <c r="D239" s="14" t="str">
        <f aca="false">base!F239</f>
        <v>LILIANA SEJO SUAREZ</v>
      </c>
      <c r="E239" s="14" t="str">
        <f aca="false">base!G239</f>
        <v>JOSUE MORA SOLSOL</v>
      </c>
      <c r="F239" s="14" t="n">
        <f aca="false">N(base!O239)</f>
        <v>0</v>
      </c>
      <c r="G239" s="4" t="n">
        <f aca="false">SUM(base!U239:AF239)+N(base!AK239)</f>
        <v>4</v>
      </c>
      <c r="H239" s="14" t="n">
        <f aca="false">N(base!S239)</f>
        <v>5</v>
      </c>
      <c r="I239" s="6" t="n">
        <f aca="false">IFERROR(G239/H239,0)</f>
        <v>0.8</v>
      </c>
      <c r="J239" s="4" t="n">
        <f aca="false">SUM(base!AG239:AJ239)</f>
        <v>0</v>
      </c>
      <c r="K239" s="5" t="n">
        <f aca="false">IFERROR((base!AG239+base!AH239)/(base!K239+base!L239),0)</f>
        <v>0</v>
      </c>
      <c r="L239" s="5" t="n">
        <f aca="false">MAX(N(base!AI239),K239*N(base!M239))</f>
        <v>0</v>
      </c>
      <c r="M239" s="5" t="n">
        <f aca="false">MAX(N(base!AJ239),K239*N(base!N239))</f>
        <v>0</v>
      </c>
      <c r="N239" s="5" t="n">
        <f aca="false">base!AG239+base!AH239+L239+M239</f>
        <v>0</v>
      </c>
      <c r="O239" s="14" t="n">
        <f aca="false">N(base!T239)</f>
        <v>15</v>
      </c>
      <c r="P239" s="6" t="n">
        <f aca="false">IFERROR(J239/O239,0)</f>
        <v>0</v>
      </c>
      <c r="Q239" s="6" t="n">
        <f aca="false">IFERROR(N239/O239,0)</f>
        <v>0</v>
      </c>
      <c r="R239" s="6" t="n">
        <f aca="false">Parametros!$B$3*I239+Parametros!$B$4*P239</f>
        <v>0.56</v>
      </c>
      <c r="S239" s="6" t="n">
        <f aca="false">Parametros!$B$3*I239+Parametros!$B$4*Q239</f>
        <v>0.56</v>
      </c>
      <c r="T239" s="4" t="str">
        <f aca="false">IF(S239&lt;tablas!$C$3,"No activa",INDEX(tablas!$B$3:$B$8,MATCH(S239,tablas!$C$3:$C$8,1)))</f>
        <v>No activa</v>
      </c>
      <c r="U239" s="15" t="n">
        <f aca="false">IF(S239&lt;tablas!$C$3,0,INDEX(tablas!$D$3:$D$8,MATCH(S239,tablas!$C$3:$C$8,1)))</f>
        <v>0</v>
      </c>
      <c r="V239" s="16" t="n">
        <f aca="false">N(base!AQ239)</f>
        <v>0</v>
      </c>
      <c r="W239" s="7" t="n">
        <f aca="false">U239*V239</f>
        <v>0</v>
      </c>
      <c r="X239" s="4" t="str">
        <f aca="false">IF(R239&lt;tablas!$C$3,"No activa",INDEX(tablas!$B$3:$B$8,MATCH(R239,tablas!$C$3:$C$8,1)))</f>
        <v>No activa</v>
      </c>
      <c r="Y239" s="7" t="n">
        <f aca="false">IF(R239&lt;tablas!$C$3,0,INDEX(tablas!$D$3:$D$8,MATCH(R239,tablas!$C$3:$C$8,1)))*V239</f>
        <v>0</v>
      </c>
      <c r="Z239" s="4" t="str">
        <f aca="false">IF(S239&gt;=tablas!$C$3,"Activa",IF(S239&gt;=Parametros!$B$5,"Cerca","No activa"))</f>
        <v>No activa</v>
      </c>
      <c r="AA239" s="6" t="n">
        <f aca="false">MAX(0,tablas!$C$3-S239)</f>
        <v>0.24</v>
      </c>
    </row>
    <row r="240" customFormat="false" ht="15" hidden="false" customHeight="false" outlineLevel="0" collapsed="false">
      <c r="A240" s="14" t="str">
        <f aca="false">base!A240</f>
        <v>75686214-1</v>
      </c>
      <c r="B240" s="14" t="str">
        <f aca="false">base!E240</f>
        <v>Lima Sur</v>
      </c>
      <c r="C240" s="14" t="str">
        <f aca="false">base!D240</f>
        <v>Outbound</v>
      </c>
      <c r="D240" s="14" t="str">
        <f aca="false">base!F240</f>
        <v>LILIANA SEJO SUAREZ</v>
      </c>
      <c r="E240" s="14" t="str">
        <f aca="false">base!G240</f>
        <v>JOSUE MORA SOLSOL</v>
      </c>
      <c r="F240" s="14" t="n">
        <f aca="false">N(base!O240)</f>
        <v>0</v>
      </c>
      <c r="G240" s="4" t="n">
        <f aca="false">SUM(base!U240:AF240)+N(base!AK240)</f>
        <v>12</v>
      </c>
      <c r="H240" s="14" t="n">
        <f aca="false">N(base!S240)</f>
        <v>5</v>
      </c>
      <c r="I240" s="6" t="n">
        <f aca="false">IFERROR(G240/H240,0)</f>
        <v>2.4</v>
      </c>
      <c r="J240" s="4" t="n">
        <f aca="false">SUM(base!AG240:AJ240)</f>
        <v>0</v>
      </c>
      <c r="K240" s="5" t="n">
        <f aca="false">IFERROR((base!AG240+base!AH240)/(base!K240+base!L240),0)</f>
        <v>0</v>
      </c>
      <c r="L240" s="5" t="n">
        <f aca="false">MAX(N(base!AI240),K240*N(base!M240))</f>
        <v>0</v>
      </c>
      <c r="M240" s="5" t="n">
        <f aca="false">MAX(N(base!AJ240),K240*N(base!N240))</f>
        <v>0</v>
      </c>
      <c r="N240" s="5" t="n">
        <f aca="false">base!AG240+base!AH240+L240+M240</f>
        <v>0</v>
      </c>
      <c r="O240" s="14" t="n">
        <f aca="false">N(base!T240)</f>
        <v>16</v>
      </c>
      <c r="P240" s="6" t="n">
        <f aca="false">IFERROR(J240/O240,0)</f>
        <v>0</v>
      </c>
      <c r="Q240" s="6" t="n">
        <f aca="false">IFERROR(N240/O240,0)</f>
        <v>0</v>
      </c>
      <c r="R240" s="6" t="n">
        <f aca="false">Parametros!$B$3*I240+Parametros!$B$4*P240</f>
        <v>1.68</v>
      </c>
      <c r="S240" s="6" t="n">
        <f aca="false">Parametros!$B$3*I240+Parametros!$B$4*Q240</f>
        <v>1.68</v>
      </c>
      <c r="T240" s="4" t="str">
        <f aca="false">IF(S240&lt;tablas!$C$3,"No activa",INDEX(tablas!$B$3:$B$8,MATCH(S240,tablas!$C$3:$C$8,1)))</f>
        <v>N6</v>
      </c>
      <c r="U240" s="15" t="n">
        <f aca="false">IF(S240&lt;tablas!$C$3,0,INDEX(tablas!$D$3:$D$8,MATCH(S240,tablas!$C$3:$C$8,1)))</f>
        <v>2</v>
      </c>
      <c r="V240" s="16" t="n">
        <f aca="false">N(base!AQ240)</f>
        <v>0</v>
      </c>
      <c r="W240" s="7" t="n">
        <f aca="false">U240*V240</f>
        <v>0</v>
      </c>
      <c r="X240" s="4" t="str">
        <f aca="false">IF(R240&lt;tablas!$C$3,"No activa",INDEX(tablas!$B$3:$B$8,MATCH(R240,tablas!$C$3:$C$8,1)))</f>
        <v>N6</v>
      </c>
      <c r="Y240" s="7" t="n">
        <f aca="false">IF(R240&lt;tablas!$C$3,0,INDEX(tablas!$D$3:$D$8,MATCH(R240,tablas!$C$3:$C$8,1)))*V240</f>
        <v>0</v>
      </c>
      <c r="Z240" s="4" t="str">
        <f aca="false">IF(S240&gt;=tablas!$C$3,"Activa",IF(S240&gt;=Parametros!$B$5,"Cerca","No activa"))</f>
        <v>Activa</v>
      </c>
      <c r="AA240" s="6" t="n">
        <f aca="false">MAX(0,tablas!$C$3-S240)</f>
        <v>0</v>
      </c>
    </row>
    <row r="241" customFormat="false" ht="15" hidden="false" customHeight="false" outlineLevel="0" collapsed="false">
      <c r="A241" s="14" t="str">
        <f aca="false">base!A241</f>
        <v>46385234-6</v>
      </c>
      <c r="B241" s="14" t="str">
        <f aca="false">base!E241</f>
        <v>Lima Sur</v>
      </c>
      <c r="C241" s="14" t="str">
        <f aca="false">base!D241</f>
        <v>Outbound</v>
      </c>
      <c r="D241" s="14" t="str">
        <f aca="false">base!F241</f>
        <v>LILIANA SEJO SUAREZ</v>
      </c>
      <c r="E241" s="14" t="str">
        <f aca="false">base!G241</f>
        <v>JOSUE MORA SOLSOL</v>
      </c>
      <c r="F241" s="14" t="n">
        <f aca="false">N(base!O241)</f>
        <v>0</v>
      </c>
      <c r="G241" s="4" t="n">
        <f aca="false">SUM(base!U241:AF241)+N(base!AK241)</f>
        <v>0</v>
      </c>
      <c r="H241" s="14" t="n">
        <f aca="false">N(base!S241)</f>
        <v>2</v>
      </c>
      <c r="I241" s="6" t="n">
        <f aca="false">IFERROR(G241/H241,0)</f>
        <v>0</v>
      </c>
      <c r="J241" s="4" t="n">
        <f aca="false">SUM(base!AG241:AJ241)</f>
        <v>0</v>
      </c>
      <c r="K241" s="5" t="n">
        <f aca="false">IFERROR((base!AG241+base!AH241)/(base!K241+base!L241),0)</f>
        <v>0</v>
      </c>
      <c r="L241" s="5" t="n">
        <f aca="false">MAX(N(base!AI241),K241*N(base!M241))</f>
        <v>0</v>
      </c>
      <c r="M241" s="5" t="n">
        <f aca="false">MAX(N(base!AJ241),K241*N(base!N241))</f>
        <v>0</v>
      </c>
      <c r="N241" s="5" t="n">
        <f aca="false">base!AG241+base!AH241+L241+M241</f>
        <v>0</v>
      </c>
      <c r="O241" s="14" t="n">
        <f aca="false">N(base!T241)</f>
        <v>6</v>
      </c>
      <c r="P241" s="6" t="n">
        <f aca="false">IFERROR(J241/O241,0)</f>
        <v>0</v>
      </c>
      <c r="Q241" s="6" t="n">
        <f aca="false">IFERROR(N241/O241,0)</f>
        <v>0</v>
      </c>
      <c r="R241" s="6" t="n">
        <f aca="false">Parametros!$B$3*I241+Parametros!$B$4*P241</f>
        <v>0</v>
      </c>
      <c r="S241" s="6" t="n">
        <f aca="false">Parametros!$B$3*I241+Parametros!$B$4*Q241</f>
        <v>0</v>
      </c>
      <c r="T241" s="4" t="str">
        <f aca="false">IF(S241&lt;tablas!$C$3,"No activa",INDEX(tablas!$B$3:$B$8,MATCH(S241,tablas!$C$3:$C$8,1)))</f>
        <v>No activa</v>
      </c>
      <c r="U241" s="15" t="n">
        <f aca="false">IF(S241&lt;tablas!$C$3,0,INDEX(tablas!$D$3:$D$8,MATCH(S241,tablas!$C$3:$C$8,1)))</f>
        <v>0</v>
      </c>
      <c r="V241" s="16" t="n">
        <f aca="false">N(base!AQ241)</f>
        <v>0</v>
      </c>
      <c r="W241" s="7" t="n">
        <f aca="false">U241*V241</f>
        <v>0</v>
      </c>
      <c r="X241" s="4" t="str">
        <f aca="false">IF(R241&lt;tablas!$C$3,"No activa",INDEX(tablas!$B$3:$B$8,MATCH(R241,tablas!$C$3:$C$8,1)))</f>
        <v>No activa</v>
      </c>
      <c r="Y241" s="7" t="n">
        <f aca="false">IF(R241&lt;tablas!$C$3,0,INDEX(tablas!$D$3:$D$8,MATCH(R241,tablas!$C$3:$C$8,1)))*V241</f>
        <v>0</v>
      </c>
      <c r="Z241" s="4" t="str">
        <f aca="false">IF(S241&gt;=tablas!$C$3,"Activa",IF(S241&gt;=Parametros!$B$5,"Cerca","No activa"))</f>
        <v>No activa</v>
      </c>
      <c r="AA241" s="6" t="n">
        <f aca="false">MAX(0,tablas!$C$3-S241)</f>
        <v>0.8</v>
      </c>
    </row>
    <row r="242" customFormat="false" ht="15" hidden="false" customHeight="false" outlineLevel="0" collapsed="false">
      <c r="A242" s="14" t="str">
        <f aca="false">base!A242</f>
        <v>72505244-3</v>
      </c>
      <c r="B242" s="14" t="str">
        <f aca="false">base!E242</f>
        <v>Lima Sur</v>
      </c>
      <c r="C242" s="14" t="str">
        <f aca="false">base!D242</f>
        <v>Outbound</v>
      </c>
      <c r="D242" s="14" t="str">
        <f aca="false">base!F242</f>
        <v>MARITZA HUAMAN NAVARRO</v>
      </c>
      <c r="E242" s="14" t="str">
        <f aca="false">base!G242</f>
        <v>JOSUE MORA SOLSOL</v>
      </c>
      <c r="F242" s="14" t="n">
        <f aca="false">N(base!O242)</f>
        <v>0</v>
      </c>
      <c r="G242" s="4" t="n">
        <f aca="false">SUM(base!U242:AF242)+N(base!AK242)</f>
        <v>9</v>
      </c>
      <c r="H242" s="14" t="n">
        <f aca="false">N(base!S242)</f>
        <v>5</v>
      </c>
      <c r="I242" s="6" t="n">
        <f aca="false">IFERROR(G242/H242,0)</f>
        <v>1.8</v>
      </c>
      <c r="J242" s="4" t="n">
        <f aca="false">SUM(base!AG242:AJ242)</f>
        <v>0</v>
      </c>
      <c r="K242" s="5" t="n">
        <f aca="false">IFERROR((base!AG242+base!AH242)/(base!K242+base!L242),0)</f>
        <v>0</v>
      </c>
      <c r="L242" s="5" t="n">
        <f aca="false">MAX(N(base!AI242),K242*N(base!M242))</f>
        <v>0</v>
      </c>
      <c r="M242" s="5" t="n">
        <f aca="false">MAX(N(base!AJ242),K242*N(base!N242))</f>
        <v>0</v>
      </c>
      <c r="N242" s="5" t="n">
        <f aca="false">base!AG242+base!AH242+L242+M242</f>
        <v>0</v>
      </c>
      <c r="O242" s="14" t="n">
        <f aca="false">N(base!T242)</f>
        <v>10</v>
      </c>
      <c r="P242" s="6" t="n">
        <f aca="false">IFERROR(J242/O242,0)</f>
        <v>0</v>
      </c>
      <c r="Q242" s="6" t="n">
        <f aca="false">IFERROR(N242/O242,0)</f>
        <v>0</v>
      </c>
      <c r="R242" s="6" t="n">
        <f aca="false">Parametros!$B$3*I242+Parametros!$B$4*P242</f>
        <v>1.26</v>
      </c>
      <c r="S242" s="6" t="n">
        <f aca="false">Parametros!$B$3*I242+Parametros!$B$4*Q242</f>
        <v>1.26</v>
      </c>
      <c r="T242" s="4" t="str">
        <f aca="false">IF(S242&lt;tablas!$C$3,"No activa",INDEX(tablas!$B$3:$B$8,MATCH(S242,tablas!$C$3:$C$8,1)))</f>
        <v>N5</v>
      </c>
      <c r="U242" s="15" t="n">
        <f aca="false">IF(S242&lt;tablas!$C$3,0,INDEX(tablas!$D$3:$D$8,MATCH(S242,tablas!$C$3:$C$8,1)))</f>
        <v>1.5</v>
      </c>
      <c r="V242" s="16" t="n">
        <f aca="false">N(base!AQ242)</f>
        <v>0</v>
      </c>
      <c r="W242" s="7" t="n">
        <f aca="false">U242*V242</f>
        <v>0</v>
      </c>
      <c r="X242" s="4" t="str">
        <f aca="false">IF(R242&lt;tablas!$C$3,"No activa",INDEX(tablas!$B$3:$B$8,MATCH(R242,tablas!$C$3:$C$8,1)))</f>
        <v>N5</v>
      </c>
      <c r="Y242" s="7" t="n">
        <f aca="false">IF(R242&lt;tablas!$C$3,0,INDEX(tablas!$D$3:$D$8,MATCH(R242,tablas!$C$3:$C$8,1)))*V242</f>
        <v>0</v>
      </c>
      <c r="Z242" s="4" t="str">
        <f aca="false">IF(S242&gt;=tablas!$C$3,"Activa",IF(S242&gt;=Parametros!$B$5,"Cerca","No activa"))</f>
        <v>Activa</v>
      </c>
      <c r="AA242" s="6" t="n">
        <f aca="false">MAX(0,tablas!$C$3-S242)</f>
        <v>0</v>
      </c>
    </row>
    <row r="243" customFormat="false" ht="15" hidden="false" customHeight="false" outlineLevel="0" collapsed="false">
      <c r="A243" s="14" t="str">
        <f aca="false">base!A243</f>
        <v>70067394-0</v>
      </c>
      <c r="B243" s="14" t="str">
        <f aca="false">base!E243</f>
        <v>Lima Sur</v>
      </c>
      <c r="C243" s="14" t="str">
        <f aca="false">base!D243</f>
        <v>Outbound</v>
      </c>
      <c r="D243" s="14" t="str">
        <f aca="false">base!F243</f>
        <v>MARITZA HUAMAN NAVARRO</v>
      </c>
      <c r="E243" s="14" t="str">
        <f aca="false">base!G243</f>
        <v>JOSUE MORA SOLSOL</v>
      </c>
      <c r="F243" s="14" t="n">
        <f aca="false">N(base!O243)</f>
        <v>0</v>
      </c>
      <c r="G243" s="4" t="n">
        <f aca="false">SUM(base!U243:AF243)+N(base!AK243)</f>
        <v>0</v>
      </c>
      <c r="H243" s="14" t="n">
        <f aca="false">N(base!S243)</f>
        <v>5</v>
      </c>
      <c r="I243" s="6" t="n">
        <f aca="false">IFERROR(G243/H243,0)</f>
        <v>0</v>
      </c>
      <c r="J243" s="4" t="n">
        <f aca="false">SUM(base!AG243:AJ243)</f>
        <v>0</v>
      </c>
      <c r="K243" s="5" t="n">
        <f aca="false">IFERROR((base!AG243+base!AH243)/(base!K243+base!L243),0)</f>
        <v>0</v>
      </c>
      <c r="L243" s="5" t="n">
        <f aca="false">MAX(N(base!AI243),K243*N(base!M243))</f>
        <v>0</v>
      </c>
      <c r="M243" s="5" t="n">
        <f aca="false">MAX(N(base!AJ243),K243*N(base!N243))</f>
        <v>0</v>
      </c>
      <c r="N243" s="5" t="n">
        <f aca="false">base!AG243+base!AH243+L243+M243</f>
        <v>0</v>
      </c>
      <c r="O243" s="14" t="n">
        <f aca="false">N(base!T243)</f>
        <v>8</v>
      </c>
      <c r="P243" s="6" t="n">
        <f aca="false">IFERROR(J243/O243,0)</f>
        <v>0</v>
      </c>
      <c r="Q243" s="6" t="n">
        <f aca="false">IFERROR(N243/O243,0)</f>
        <v>0</v>
      </c>
      <c r="R243" s="6" t="n">
        <f aca="false">Parametros!$B$3*I243+Parametros!$B$4*P243</f>
        <v>0</v>
      </c>
      <c r="S243" s="6" t="n">
        <f aca="false">Parametros!$B$3*I243+Parametros!$B$4*Q243</f>
        <v>0</v>
      </c>
      <c r="T243" s="4" t="str">
        <f aca="false">IF(S243&lt;tablas!$C$3,"No activa",INDEX(tablas!$B$3:$B$8,MATCH(S243,tablas!$C$3:$C$8,1)))</f>
        <v>No activa</v>
      </c>
      <c r="U243" s="15" t="n">
        <f aca="false">IF(S243&lt;tablas!$C$3,0,INDEX(tablas!$D$3:$D$8,MATCH(S243,tablas!$C$3:$C$8,1)))</f>
        <v>0</v>
      </c>
      <c r="V243" s="16" t="n">
        <f aca="false">N(base!AQ243)</f>
        <v>0</v>
      </c>
      <c r="W243" s="7" t="n">
        <f aca="false">U243*V243</f>
        <v>0</v>
      </c>
      <c r="X243" s="4" t="str">
        <f aca="false">IF(R243&lt;tablas!$C$3,"No activa",INDEX(tablas!$B$3:$B$8,MATCH(R243,tablas!$C$3:$C$8,1)))</f>
        <v>No activa</v>
      </c>
      <c r="Y243" s="7" t="n">
        <f aca="false">IF(R243&lt;tablas!$C$3,0,INDEX(tablas!$D$3:$D$8,MATCH(R243,tablas!$C$3:$C$8,1)))*V243</f>
        <v>0</v>
      </c>
      <c r="Z243" s="4" t="str">
        <f aca="false">IF(S243&gt;=tablas!$C$3,"Activa",IF(S243&gt;=Parametros!$B$5,"Cerca","No activa"))</f>
        <v>No activa</v>
      </c>
      <c r="AA243" s="6" t="n">
        <f aca="false">MAX(0,tablas!$C$3-S243)</f>
        <v>0.8</v>
      </c>
    </row>
    <row r="244" customFormat="false" ht="15" hidden="false" customHeight="false" outlineLevel="0" collapsed="false">
      <c r="A244" s="14" t="str">
        <f aca="false">base!A244</f>
        <v>75841750-1</v>
      </c>
      <c r="B244" s="14" t="str">
        <f aca="false">base!E244</f>
        <v>Lima Sur</v>
      </c>
      <c r="C244" s="14" t="str">
        <f aca="false">base!D244</f>
        <v>Outbound</v>
      </c>
      <c r="D244" s="14" t="str">
        <f aca="false">base!F244</f>
        <v>MARITZA HUAMAN NAVARRO</v>
      </c>
      <c r="E244" s="14" t="str">
        <f aca="false">base!G244</f>
        <v>JOSUE MORA SOLSOL</v>
      </c>
      <c r="F244" s="14" t="n">
        <f aca="false">N(base!O244)</f>
        <v>0</v>
      </c>
      <c r="G244" s="4" t="n">
        <f aca="false">SUM(base!U244:AF244)+N(base!AK244)</f>
        <v>0</v>
      </c>
      <c r="H244" s="14" t="n">
        <f aca="false">N(base!S244)</f>
        <v>5</v>
      </c>
      <c r="I244" s="6" t="n">
        <f aca="false">IFERROR(G244/H244,0)</f>
        <v>0</v>
      </c>
      <c r="J244" s="4" t="n">
        <f aca="false">SUM(base!AG244:AJ244)</f>
        <v>0</v>
      </c>
      <c r="K244" s="5" t="n">
        <f aca="false">IFERROR((base!AG244+base!AH244)/(base!K244+base!L244),0)</f>
        <v>0</v>
      </c>
      <c r="L244" s="5" t="n">
        <f aca="false">MAX(N(base!AI244),K244*N(base!M244))</f>
        <v>0</v>
      </c>
      <c r="M244" s="5" t="n">
        <f aca="false">MAX(N(base!AJ244),K244*N(base!N244))</f>
        <v>0</v>
      </c>
      <c r="N244" s="5" t="n">
        <f aca="false">base!AG244+base!AH244+L244+M244</f>
        <v>0</v>
      </c>
      <c r="O244" s="14" t="n">
        <f aca="false">N(base!T244)</f>
        <v>8</v>
      </c>
      <c r="P244" s="6" t="n">
        <f aca="false">IFERROR(J244/O244,0)</f>
        <v>0</v>
      </c>
      <c r="Q244" s="6" t="n">
        <f aca="false">IFERROR(N244/O244,0)</f>
        <v>0</v>
      </c>
      <c r="R244" s="6" t="n">
        <f aca="false">Parametros!$B$3*I244+Parametros!$B$4*P244</f>
        <v>0</v>
      </c>
      <c r="S244" s="6" t="n">
        <f aca="false">Parametros!$B$3*I244+Parametros!$B$4*Q244</f>
        <v>0</v>
      </c>
      <c r="T244" s="4" t="str">
        <f aca="false">IF(S244&lt;tablas!$C$3,"No activa",INDEX(tablas!$B$3:$B$8,MATCH(S244,tablas!$C$3:$C$8,1)))</f>
        <v>No activa</v>
      </c>
      <c r="U244" s="15" t="n">
        <f aca="false">IF(S244&lt;tablas!$C$3,0,INDEX(tablas!$D$3:$D$8,MATCH(S244,tablas!$C$3:$C$8,1)))</f>
        <v>0</v>
      </c>
      <c r="V244" s="16" t="n">
        <f aca="false">N(base!AQ244)</f>
        <v>0</v>
      </c>
      <c r="W244" s="7" t="n">
        <f aca="false">U244*V244</f>
        <v>0</v>
      </c>
      <c r="X244" s="4" t="str">
        <f aca="false">IF(R244&lt;tablas!$C$3,"No activa",INDEX(tablas!$B$3:$B$8,MATCH(R244,tablas!$C$3:$C$8,1)))</f>
        <v>No activa</v>
      </c>
      <c r="Y244" s="7" t="n">
        <f aca="false">IF(R244&lt;tablas!$C$3,0,INDEX(tablas!$D$3:$D$8,MATCH(R244,tablas!$C$3:$C$8,1)))*V244</f>
        <v>0</v>
      </c>
      <c r="Z244" s="4" t="str">
        <f aca="false">IF(S244&gt;=tablas!$C$3,"Activa",IF(S244&gt;=Parametros!$B$5,"Cerca","No activa"))</f>
        <v>No activa</v>
      </c>
      <c r="AA244" s="6" t="n">
        <f aca="false">MAX(0,tablas!$C$3-S244)</f>
        <v>0.8</v>
      </c>
    </row>
    <row r="245" customFormat="false" ht="15" hidden="false" customHeight="false" outlineLevel="0" collapsed="false">
      <c r="A245" s="14" t="str">
        <f aca="false">base!A245</f>
        <v>76199458-7</v>
      </c>
      <c r="B245" s="14" t="str">
        <f aca="false">base!E245</f>
        <v>Lima Sur</v>
      </c>
      <c r="C245" s="14" t="str">
        <f aca="false">base!D245</f>
        <v>Outbound</v>
      </c>
      <c r="D245" s="14" t="str">
        <f aca="false">base!F245</f>
        <v>MARITZA HUAMAN NAVARRO</v>
      </c>
      <c r="E245" s="14" t="str">
        <f aca="false">base!G245</f>
        <v>JOSUE MORA SOLSOL</v>
      </c>
      <c r="F245" s="14" t="n">
        <f aca="false">N(base!O245)</f>
        <v>0</v>
      </c>
      <c r="G245" s="4" t="n">
        <f aca="false">SUM(base!U245:AF245)+N(base!AK245)</f>
        <v>4</v>
      </c>
      <c r="H245" s="14" t="n">
        <f aca="false">N(base!S245)</f>
        <v>5</v>
      </c>
      <c r="I245" s="6" t="n">
        <f aca="false">IFERROR(G245/H245,0)</f>
        <v>0.8</v>
      </c>
      <c r="J245" s="4" t="n">
        <f aca="false">SUM(base!AG245:AJ245)</f>
        <v>0</v>
      </c>
      <c r="K245" s="5" t="n">
        <f aca="false">IFERROR((base!AG245+base!AH245)/(base!K245+base!L245),0)</f>
        <v>0</v>
      </c>
      <c r="L245" s="5" t="n">
        <f aca="false">MAX(N(base!AI245),K245*N(base!M245))</f>
        <v>0</v>
      </c>
      <c r="M245" s="5" t="n">
        <f aca="false">MAX(N(base!AJ245),K245*N(base!N245))</f>
        <v>0</v>
      </c>
      <c r="N245" s="5" t="n">
        <f aca="false">base!AG245+base!AH245+L245+M245</f>
        <v>0</v>
      </c>
      <c r="O245" s="14" t="n">
        <f aca="false">N(base!T245)</f>
        <v>8</v>
      </c>
      <c r="P245" s="6" t="n">
        <f aca="false">IFERROR(J245/O245,0)</f>
        <v>0</v>
      </c>
      <c r="Q245" s="6" t="n">
        <f aca="false">IFERROR(N245/O245,0)</f>
        <v>0</v>
      </c>
      <c r="R245" s="6" t="n">
        <f aca="false">Parametros!$B$3*I245+Parametros!$B$4*P245</f>
        <v>0.56</v>
      </c>
      <c r="S245" s="6" t="n">
        <f aca="false">Parametros!$B$3*I245+Parametros!$B$4*Q245</f>
        <v>0.56</v>
      </c>
      <c r="T245" s="4" t="str">
        <f aca="false">IF(S245&lt;tablas!$C$3,"No activa",INDEX(tablas!$B$3:$B$8,MATCH(S245,tablas!$C$3:$C$8,1)))</f>
        <v>No activa</v>
      </c>
      <c r="U245" s="15" t="n">
        <f aca="false">IF(S245&lt;tablas!$C$3,0,INDEX(tablas!$D$3:$D$8,MATCH(S245,tablas!$C$3:$C$8,1)))</f>
        <v>0</v>
      </c>
      <c r="V245" s="16" t="n">
        <f aca="false">N(base!AQ245)</f>
        <v>0</v>
      </c>
      <c r="W245" s="7" t="n">
        <f aca="false">U245*V245</f>
        <v>0</v>
      </c>
      <c r="X245" s="4" t="str">
        <f aca="false">IF(R245&lt;tablas!$C$3,"No activa",INDEX(tablas!$B$3:$B$8,MATCH(R245,tablas!$C$3:$C$8,1)))</f>
        <v>No activa</v>
      </c>
      <c r="Y245" s="7" t="n">
        <f aca="false">IF(R245&lt;tablas!$C$3,0,INDEX(tablas!$D$3:$D$8,MATCH(R245,tablas!$C$3:$C$8,1)))*V245</f>
        <v>0</v>
      </c>
      <c r="Z245" s="4" t="str">
        <f aca="false">IF(S245&gt;=tablas!$C$3,"Activa",IF(S245&gt;=Parametros!$B$5,"Cerca","No activa"))</f>
        <v>No activa</v>
      </c>
      <c r="AA245" s="6" t="n">
        <f aca="false">MAX(0,tablas!$C$3-S245)</f>
        <v>0.24</v>
      </c>
    </row>
    <row r="246" customFormat="false" ht="15" hidden="false" customHeight="false" outlineLevel="0" collapsed="false">
      <c r="A246" s="14" t="str">
        <f aca="false">base!A246</f>
        <v>76656036-4</v>
      </c>
      <c r="B246" s="14" t="str">
        <f aca="false">base!E246</f>
        <v>Lima Sur</v>
      </c>
      <c r="C246" s="14" t="str">
        <f aca="false">base!D246</f>
        <v>Inbound</v>
      </c>
      <c r="D246" s="14" t="str">
        <f aca="false">base!F246</f>
        <v>NINO BELLIDO VALENZUELA</v>
      </c>
      <c r="E246" s="14" t="str">
        <f aca="false">base!G246</f>
        <v>JOSUE MORA SOLSOL</v>
      </c>
      <c r="F246" s="14" t="n">
        <f aca="false">N(base!O246)</f>
        <v>0</v>
      </c>
      <c r="G246" s="4" t="n">
        <f aca="false">SUM(base!U246:AF246)+N(base!AK246)</f>
        <v>0</v>
      </c>
      <c r="H246" s="14" t="n">
        <f aca="false">N(base!S246)</f>
        <v>8</v>
      </c>
      <c r="I246" s="6" t="n">
        <f aca="false">IFERROR(G246/H246,0)</f>
        <v>0</v>
      </c>
      <c r="J246" s="4" t="n">
        <f aca="false">SUM(base!AG246:AJ246)</f>
        <v>1</v>
      </c>
      <c r="K246" s="5" t="n">
        <f aca="false">IFERROR((base!AG246+base!AH246)/(base!K246+base!L246),0)</f>
        <v>0.5</v>
      </c>
      <c r="L246" s="5" t="n">
        <f aca="false">MAX(N(base!AI246),K246*N(base!M246))</f>
        <v>0.5</v>
      </c>
      <c r="M246" s="5" t="n">
        <f aca="false">MAX(N(base!AJ246),K246*N(base!N246))</f>
        <v>0.5</v>
      </c>
      <c r="N246" s="5" t="n">
        <f aca="false">base!AG246+base!AH246+L246+M246</f>
        <v>2</v>
      </c>
      <c r="O246" s="14" t="n">
        <f aca="false">N(base!T246)</f>
        <v>4</v>
      </c>
      <c r="P246" s="6" t="n">
        <f aca="false">IFERROR(J246/O246,0)</f>
        <v>0.25</v>
      </c>
      <c r="Q246" s="6" t="n">
        <f aca="false">IFERROR(N246/O246,0)</f>
        <v>0.5</v>
      </c>
      <c r="R246" s="6" t="n">
        <f aca="false">Parametros!$B$3*I246+Parametros!$B$4*P246</f>
        <v>0.075</v>
      </c>
      <c r="S246" s="6" t="n">
        <f aca="false">Parametros!$B$3*I246+Parametros!$B$4*Q246</f>
        <v>0.15</v>
      </c>
      <c r="T246" s="4" t="str">
        <f aca="false">IF(S246&lt;tablas!$C$3,"No activa",INDEX(tablas!$B$3:$B$8,MATCH(S246,tablas!$C$3:$C$8,1)))</f>
        <v>No activa</v>
      </c>
      <c r="U246" s="15" t="n">
        <f aca="false">IF(S246&lt;tablas!$C$3,0,INDEX(tablas!$D$3:$D$8,MATCH(S246,tablas!$C$3:$C$8,1)))</f>
        <v>0</v>
      </c>
      <c r="V246" s="16" t="n">
        <f aca="false">N(base!AQ246)</f>
        <v>0</v>
      </c>
      <c r="W246" s="7" t="n">
        <f aca="false">U246*V246</f>
        <v>0</v>
      </c>
      <c r="X246" s="4" t="str">
        <f aca="false">IF(R246&lt;tablas!$C$3,"No activa",INDEX(tablas!$B$3:$B$8,MATCH(R246,tablas!$C$3:$C$8,1)))</f>
        <v>No activa</v>
      </c>
      <c r="Y246" s="7" t="n">
        <f aca="false">IF(R246&lt;tablas!$C$3,0,INDEX(tablas!$D$3:$D$8,MATCH(R246,tablas!$C$3:$C$8,1)))*V246</f>
        <v>0</v>
      </c>
      <c r="Z246" s="4" t="str">
        <f aca="false">IF(S246&gt;=tablas!$C$3,"Activa",IF(S246&gt;=Parametros!$B$5,"Cerca","No activa"))</f>
        <v>No activa</v>
      </c>
      <c r="AA246" s="6" t="n">
        <f aca="false">MAX(0,tablas!$C$3-S246)</f>
        <v>0.65</v>
      </c>
    </row>
    <row r="247" customFormat="false" ht="15" hidden="false" customHeight="false" outlineLevel="0" collapsed="false">
      <c r="A247" s="14" t="str">
        <f aca="false">base!A247</f>
        <v>75628851-8</v>
      </c>
      <c r="B247" s="14" t="str">
        <f aca="false">base!E247</f>
        <v>Lima Sur</v>
      </c>
      <c r="C247" s="14" t="str">
        <f aca="false">base!D247</f>
        <v>Inbound</v>
      </c>
      <c r="D247" s="14" t="str">
        <f aca="false">base!F247</f>
        <v>NINO BELLIDO VALENZUELA</v>
      </c>
      <c r="E247" s="14" t="str">
        <f aca="false">base!G247</f>
        <v>JOSUE MORA SOLSOL</v>
      </c>
      <c r="F247" s="14" t="n">
        <f aca="false">N(base!O247)</f>
        <v>0</v>
      </c>
      <c r="G247" s="4" t="n">
        <f aca="false">SUM(base!U247:AF247)+N(base!AK247)</f>
        <v>12</v>
      </c>
      <c r="H247" s="14" t="n">
        <f aca="false">N(base!S247)</f>
        <v>8</v>
      </c>
      <c r="I247" s="6" t="n">
        <f aca="false">IFERROR(G247/H247,0)</f>
        <v>1.5</v>
      </c>
      <c r="J247" s="4" t="n">
        <f aca="false">SUM(base!AG247:AJ247)</f>
        <v>0</v>
      </c>
      <c r="K247" s="5" t="n">
        <f aca="false">IFERROR((base!AG247+base!AH247)/(base!K247+base!L247),0)</f>
        <v>0</v>
      </c>
      <c r="L247" s="5" t="n">
        <f aca="false">MAX(N(base!AI247),K247*N(base!M247))</f>
        <v>0</v>
      </c>
      <c r="M247" s="5" t="n">
        <f aca="false">MAX(N(base!AJ247),K247*N(base!N247))</f>
        <v>0</v>
      </c>
      <c r="N247" s="5" t="n">
        <f aca="false">base!AG247+base!AH247+L247+M247</f>
        <v>0</v>
      </c>
      <c r="O247" s="14" t="n">
        <f aca="false">N(base!T247)</f>
        <v>4</v>
      </c>
      <c r="P247" s="6" t="n">
        <f aca="false">IFERROR(J247/O247,0)</f>
        <v>0</v>
      </c>
      <c r="Q247" s="6" t="n">
        <f aca="false">IFERROR(N247/O247,0)</f>
        <v>0</v>
      </c>
      <c r="R247" s="6" t="n">
        <f aca="false">Parametros!$B$3*I247+Parametros!$B$4*P247</f>
        <v>1.05</v>
      </c>
      <c r="S247" s="6" t="n">
        <f aca="false">Parametros!$B$3*I247+Parametros!$B$4*Q247</f>
        <v>1.05</v>
      </c>
      <c r="T247" s="4" t="str">
        <f aca="false">IF(S247&lt;tablas!$C$3,"No activa",INDEX(tablas!$B$3:$B$8,MATCH(S247,tablas!$C$3:$C$8,1)))</f>
        <v>N3</v>
      </c>
      <c r="U247" s="15" t="n">
        <f aca="false">IF(S247&lt;tablas!$C$3,0,INDEX(tablas!$D$3:$D$8,MATCH(S247,tablas!$C$3:$C$8,1)))</f>
        <v>1</v>
      </c>
      <c r="V247" s="16" t="n">
        <f aca="false">N(base!AQ247)</f>
        <v>0</v>
      </c>
      <c r="W247" s="7" t="n">
        <f aca="false">U247*V247</f>
        <v>0</v>
      </c>
      <c r="X247" s="4" t="str">
        <f aca="false">IF(R247&lt;tablas!$C$3,"No activa",INDEX(tablas!$B$3:$B$8,MATCH(R247,tablas!$C$3:$C$8,1)))</f>
        <v>N3</v>
      </c>
      <c r="Y247" s="7" t="n">
        <f aca="false">IF(R247&lt;tablas!$C$3,0,INDEX(tablas!$D$3:$D$8,MATCH(R247,tablas!$C$3:$C$8,1)))*V247</f>
        <v>0</v>
      </c>
      <c r="Z247" s="4" t="str">
        <f aca="false">IF(S247&gt;=tablas!$C$3,"Activa",IF(S247&gt;=Parametros!$B$5,"Cerca","No activa"))</f>
        <v>Activa</v>
      </c>
      <c r="AA247" s="6" t="n">
        <f aca="false">MAX(0,tablas!$C$3-S247)</f>
        <v>0</v>
      </c>
    </row>
    <row r="248" customFormat="false" ht="15" hidden="false" customHeight="false" outlineLevel="0" collapsed="false">
      <c r="A248" s="14" t="str">
        <f aca="false">base!A248</f>
        <v>48205433-7</v>
      </c>
      <c r="B248" s="14" t="str">
        <f aca="false">base!E248</f>
        <v>Lima Sur</v>
      </c>
      <c r="C248" s="14" t="str">
        <f aca="false">base!D248</f>
        <v>Inbound</v>
      </c>
      <c r="D248" s="14" t="str">
        <f aca="false">base!F248</f>
        <v>NINO BELLIDO VALENZUELA</v>
      </c>
      <c r="E248" s="14" t="str">
        <f aca="false">base!G248</f>
        <v>JOSUE MORA SOLSOL</v>
      </c>
      <c r="F248" s="14" t="n">
        <f aca="false">N(base!O248)</f>
        <v>0</v>
      </c>
      <c r="G248" s="4" t="n">
        <f aca="false">SUM(base!U248:AF248)+N(base!AK248)</f>
        <v>2</v>
      </c>
      <c r="H248" s="14" t="n">
        <f aca="false">N(base!S248)</f>
        <v>4</v>
      </c>
      <c r="I248" s="6" t="n">
        <f aca="false">IFERROR(G248/H248,0)</f>
        <v>0.5</v>
      </c>
      <c r="J248" s="4" t="n">
        <f aca="false">SUM(base!AG248:AJ248)</f>
        <v>1</v>
      </c>
      <c r="K248" s="5" t="n">
        <f aca="false">IFERROR((base!AG248+base!AH248)/(base!K248+base!L248),0)</f>
        <v>0.5</v>
      </c>
      <c r="L248" s="5" t="n">
        <f aca="false">MAX(N(base!AI248),K248*N(base!M248))</f>
        <v>0</v>
      </c>
      <c r="M248" s="5" t="n">
        <f aca="false">MAX(N(base!AJ248),K248*N(base!N248))</f>
        <v>0</v>
      </c>
      <c r="N248" s="5" t="n">
        <f aca="false">base!AG248+base!AH248+L248+M248</f>
        <v>1</v>
      </c>
      <c r="O248" s="14" t="n">
        <f aca="false">N(base!T248)</f>
        <v>2</v>
      </c>
      <c r="P248" s="6" t="n">
        <f aca="false">IFERROR(J248/O248,0)</f>
        <v>0.5</v>
      </c>
      <c r="Q248" s="6" t="n">
        <f aca="false">IFERROR(N248/O248,0)</f>
        <v>0.5</v>
      </c>
      <c r="R248" s="6" t="n">
        <f aca="false">Parametros!$B$3*I248+Parametros!$B$4*P248</f>
        <v>0.5</v>
      </c>
      <c r="S248" s="6" t="n">
        <f aca="false">Parametros!$B$3*I248+Parametros!$B$4*Q248</f>
        <v>0.5</v>
      </c>
      <c r="T248" s="4" t="str">
        <f aca="false">IF(S248&lt;tablas!$C$3,"No activa",INDEX(tablas!$B$3:$B$8,MATCH(S248,tablas!$C$3:$C$8,1)))</f>
        <v>No activa</v>
      </c>
      <c r="U248" s="15" t="n">
        <f aca="false">IF(S248&lt;tablas!$C$3,0,INDEX(tablas!$D$3:$D$8,MATCH(S248,tablas!$C$3:$C$8,1)))</f>
        <v>0</v>
      </c>
      <c r="V248" s="16" t="n">
        <f aca="false">N(base!AQ248)</f>
        <v>0</v>
      </c>
      <c r="W248" s="7" t="n">
        <f aca="false">U248*V248</f>
        <v>0</v>
      </c>
      <c r="X248" s="4" t="str">
        <f aca="false">IF(R248&lt;tablas!$C$3,"No activa",INDEX(tablas!$B$3:$B$8,MATCH(R248,tablas!$C$3:$C$8,1)))</f>
        <v>No activa</v>
      </c>
      <c r="Y248" s="7" t="n">
        <f aca="false">IF(R248&lt;tablas!$C$3,0,INDEX(tablas!$D$3:$D$8,MATCH(R248,tablas!$C$3:$C$8,1)))*V248</f>
        <v>0</v>
      </c>
      <c r="Z248" s="4" t="str">
        <f aca="false">IF(S248&gt;=tablas!$C$3,"Activa",IF(S248&gt;=Parametros!$B$5,"Cerca","No activa"))</f>
        <v>No activa</v>
      </c>
      <c r="AA248" s="6" t="n">
        <f aca="false">MAX(0,tablas!$C$3-S248)</f>
        <v>0.3</v>
      </c>
    </row>
    <row r="249" customFormat="false" ht="15" hidden="false" customHeight="false" outlineLevel="0" collapsed="false">
      <c r="A249" s="14" t="str">
        <f aca="false">base!A249</f>
        <v>48510663-0</v>
      </c>
      <c r="B249" s="14" t="str">
        <f aca="false">base!E249</f>
        <v>Lima Sur</v>
      </c>
      <c r="C249" s="14" t="str">
        <f aca="false">base!D249</f>
        <v>Inbound</v>
      </c>
      <c r="D249" s="14" t="str">
        <f aca="false">base!F249</f>
        <v>NINO BELLIDO VALENZUELA</v>
      </c>
      <c r="E249" s="14" t="str">
        <f aca="false">base!G249</f>
        <v>JOSUE MORA SOLSOL</v>
      </c>
      <c r="F249" s="14" t="n">
        <f aca="false">N(base!O249)</f>
        <v>0</v>
      </c>
      <c r="G249" s="4" t="n">
        <f aca="false">SUM(base!U249:AF249)+N(base!AK249)</f>
        <v>4</v>
      </c>
      <c r="H249" s="14" t="n">
        <f aca="false">N(base!S249)</f>
        <v>8</v>
      </c>
      <c r="I249" s="6" t="n">
        <f aca="false">IFERROR(G249/H249,0)</f>
        <v>0.5</v>
      </c>
      <c r="J249" s="4" t="n">
        <f aca="false">SUM(base!AG249:AJ249)</f>
        <v>1</v>
      </c>
      <c r="K249" s="5" t="n">
        <f aca="false">IFERROR((base!AG249+base!AH249)/(base!K249+base!L249),0)</f>
        <v>0.5</v>
      </c>
      <c r="L249" s="5" t="n">
        <f aca="false">MAX(N(base!AI249),K249*N(base!M249))</f>
        <v>0.5</v>
      </c>
      <c r="M249" s="5" t="n">
        <f aca="false">MAX(N(base!AJ249),K249*N(base!N249))</f>
        <v>0.5</v>
      </c>
      <c r="N249" s="5" t="n">
        <f aca="false">base!AG249+base!AH249+L249+M249</f>
        <v>2</v>
      </c>
      <c r="O249" s="14" t="n">
        <f aca="false">N(base!T249)</f>
        <v>4</v>
      </c>
      <c r="P249" s="6" t="n">
        <f aca="false">IFERROR(J249/O249,0)</f>
        <v>0.25</v>
      </c>
      <c r="Q249" s="6" t="n">
        <f aca="false">IFERROR(N249/O249,0)</f>
        <v>0.5</v>
      </c>
      <c r="R249" s="6" t="n">
        <f aca="false">Parametros!$B$3*I249+Parametros!$B$4*P249</f>
        <v>0.425</v>
      </c>
      <c r="S249" s="6" t="n">
        <f aca="false">Parametros!$B$3*I249+Parametros!$B$4*Q249</f>
        <v>0.5</v>
      </c>
      <c r="T249" s="4" t="str">
        <f aca="false">IF(S249&lt;tablas!$C$3,"No activa",INDEX(tablas!$B$3:$B$8,MATCH(S249,tablas!$C$3:$C$8,1)))</f>
        <v>No activa</v>
      </c>
      <c r="U249" s="15" t="n">
        <f aca="false">IF(S249&lt;tablas!$C$3,0,INDEX(tablas!$D$3:$D$8,MATCH(S249,tablas!$C$3:$C$8,1)))</f>
        <v>0</v>
      </c>
      <c r="V249" s="16" t="n">
        <f aca="false">N(base!AQ249)</f>
        <v>0</v>
      </c>
      <c r="W249" s="7" t="n">
        <f aca="false">U249*V249</f>
        <v>0</v>
      </c>
      <c r="X249" s="4" t="str">
        <f aca="false">IF(R249&lt;tablas!$C$3,"No activa",INDEX(tablas!$B$3:$B$8,MATCH(R249,tablas!$C$3:$C$8,1)))</f>
        <v>No activa</v>
      </c>
      <c r="Y249" s="7" t="n">
        <f aca="false">IF(R249&lt;tablas!$C$3,0,INDEX(tablas!$D$3:$D$8,MATCH(R249,tablas!$C$3:$C$8,1)))*V249</f>
        <v>0</v>
      </c>
      <c r="Z249" s="4" t="str">
        <f aca="false">IF(S249&gt;=tablas!$C$3,"Activa",IF(S249&gt;=Parametros!$B$5,"Cerca","No activa"))</f>
        <v>No activa</v>
      </c>
      <c r="AA249" s="6" t="n">
        <f aca="false">MAX(0,tablas!$C$3-S249)</f>
        <v>0.3</v>
      </c>
    </row>
    <row r="250" customFormat="false" ht="15" hidden="false" customHeight="false" outlineLevel="0" collapsed="false">
      <c r="A250" s="14" t="str">
        <f aca="false">base!A250</f>
        <v>76177341-6</v>
      </c>
      <c r="B250" s="14" t="str">
        <f aca="false">base!E250</f>
        <v>Lima Sur</v>
      </c>
      <c r="C250" s="14" t="str">
        <f aca="false">base!D250</f>
        <v>Inbound</v>
      </c>
      <c r="D250" s="14" t="str">
        <f aca="false">base!F250</f>
        <v>NINO BELLIDO VALENZUELA</v>
      </c>
      <c r="E250" s="14" t="str">
        <f aca="false">base!G250</f>
        <v>JOSUE MORA SOLSOL</v>
      </c>
      <c r="F250" s="14" t="n">
        <f aca="false">N(base!O250)</f>
        <v>0</v>
      </c>
      <c r="G250" s="4" t="n">
        <f aca="false">SUM(base!U250:AF250)+N(base!AK250)</f>
        <v>3</v>
      </c>
      <c r="H250" s="14" t="n">
        <f aca="false">N(base!S250)</f>
        <v>4</v>
      </c>
      <c r="I250" s="6" t="n">
        <f aca="false">IFERROR(G250/H250,0)</f>
        <v>0.75</v>
      </c>
      <c r="J250" s="4" t="n">
        <f aca="false">SUM(base!AG250:AJ250)</f>
        <v>1</v>
      </c>
      <c r="K250" s="5" t="n">
        <f aca="false">IFERROR((base!AG250+base!AH250)/(base!K250+base!L250),0)</f>
        <v>1</v>
      </c>
      <c r="L250" s="5" t="n">
        <f aca="false">MAX(N(base!AI250),K250*N(base!M250))</f>
        <v>0</v>
      </c>
      <c r="M250" s="5" t="n">
        <f aca="false">MAX(N(base!AJ250),K250*N(base!N250))</f>
        <v>1</v>
      </c>
      <c r="N250" s="5" t="n">
        <f aca="false">base!AG250+base!AH250+L250+M250</f>
        <v>2</v>
      </c>
      <c r="O250" s="14" t="n">
        <f aca="false">N(base!T250)</f>
        <v>2</v>
      </c>
      <c r="P250" s="6" t="n">
        <f aca="false">IFERROR(J250/O250,0)</f>
        <v>0.5</v>
      </c>
      <c r="Q250" s="6" t="n">
        <f aca="false">IFERROR(N250/O250,0)</f>
        <v>1</v>
      </c>
      <c r="R250" s="6" t="n">
        <f aca="false">Parametros!$B$3*I250+Parametros!$B$4*P250</f>
        <v>0.675</v>
      </c>
      <c r="S250" s="6" t="n">
        <f aca="false">Parametros!$B$3*I250+Parametros!$B$4*Q250</f>
        <v>0.825</v>
      </c>
      <c r="T250" s="4" t="str">
        <f aca="false">IF(S250&lt;tablas!$C$3,"No activa",INDEX(tablas!$B$3:$B$8,MATCH(S250,tablas!$C$3:$C$8,1)))</f>
        <v>N1</v>
      </c>
      <c r="U250" s="15" t="n">
        <f aca="false">IF(S250&lt;tablas!$C$3,0,INDEX(tablas!$D$3:$D$8,MATCH(S250,tablas!$C$3:$C$8,1)))</f>
        <v>0.3</v>
      </c>
      <c r="V250" s="16" t="n">
        <f aca="false">N(base!AQ250)</f>
        <v>0</v>
      </c>
      <c r="W250" s="7" t="n">
        <f aca="false">U250*V250</f>
        <v>0</v>
      </c>
      <c r="X250" s="4" t="str">
        <f aca="false">IF(R250&lt;tablas!$C$3,"No activa",INDEX(tablas!$B$3:$B$8,MATCH(R250,tablas!$C$3:$C$8,1)))</f>
        <v>No activa</v>
      </c>
      <c r="Y250" s="7" t="n">
        <f aca="false">IF(R250&lt;tablas!$C$3,0,INDEX(tablas!$D$3:$D$8,MATCH(R250,tablas!$C$3:$C$8,1)))*V250</f>
        <v>0</v>
      </c>
      <c r="Z250" s="4" t="str">
        <f aca="false">IF(S250&gt;=tablas!$C$3,"Activa",IF(S250&gt;=Parametros!$B$5,"Cerca","No activa"))</f>
        <v>Activa</v>
      </c>
      <c r="AA250" s="6" t="n">
        <f aca="false">MAX(0,tablas!$C$3-S250)</f>
        <v>0</v>
      </c>
    </row>
    <row r="251" customFormat="false" ht="15" hidden="false" customHeight="false" outlineLevel="0" collapsed="false">
      <c r="A251" s="14" t="str">
        <f aca="false">base!A251</f>
        <v>48409758-1</v>
      </c>
      <c r="B251" s="14" t="str">
        <f aca="false">base!E251</f>
        <v>Lima Sur</v>
      </c>
      <c r="C251" s="14" t="str">
        <f aca="false">base!D251</f>
        <v>Inbound</v>
      </c>
      <c r="D251" s="14" t="str">
        <f aca="false">base!F251</f>
        <v>NINO BELLIDO VALENZUELA</v>
      </c>
      <c r="E251" s="14" t="str">
        <f aca="false">base!G251</f>
        <v>JOSUE MORA SOLSOL</v>
      </c>
      <c r="F251" s="14" t="n">
        <f aca="false">N(base!O251)</f>
        <v>0</v>
      </c>
      <c r="G251" s="4" t="n">
        <f aca="false">SUM(base!U251:AF251)+N(base!AK251)</f>
        <v>8</v>
      </c>
      <c r="H251" s="14" t="n">
        <f aca="false">N(base!S251)</f>
        <v>8</v>
      </c>
      <c r="I251" s="6" t="n">
        <f aca="false">IFERROR(G251/H251,0)</f>
        <v>1</v>
      </c>
      <c r="J251" s="4" t="n">
        <f aca="false">SUM(base!AG251:AJ251)</f>
        <v>1</v>
      </c>
      <c r="K251" s="5" t="n">
        <f aca="false">IFERROR((base!AG251+base!AH251)/(base!K251+base!L251),0)</f>
        <v>0.5</v>
      </c>
      <c r="L251" s="5" t="n">
        <f aca="false">MAX(N(base!AI251),K251*N(base!M251))</f>
        <v>0.5</v>
      </c>
      <c r="M251" s="5" t="n">
        <f aca="false">MAX(N(base!AJ251),K251*N(base!N251))</f>
        <v>0.5</v>
      </c>
      <c r="N251" s="5" t="n">
        <f aca="false">base!AG251+base!AH251+L251+M251</f>
        <v>2</v>
      </c>
      <c r="O251" s="14" t="n">
        <f aca="false">N(base!T251)</f>
        <v>5</v>
      </c>
      <c r="P251" s="6" t="n">
        <f aca="false">IFERROR(J251/O251,0)</f>
        <v>0.2</v>
      </c>
      <c r="Q251" s="6" t="n">
        <f aca="false">IFERROR(N251/O251,0)</f>
        <v>0.4</v>
      </c>
      <c r="R251" s="6" t="n">
        <f aca="false">Parametros!$B$3*I251+Parametros!$B$4*P251</f>
        <v>0.76</v>
      </c>
      <c r="S251" s="6" t="n">
        <f aca="false">Parametros!$B$3*I251+Parametros!$B$4*Q251</f>
        <v>0.82</v>
      </c>
      <c r="T251" s="4" t="str">
        <f aca="false">IF(S251&lt;tablas!$C$3,"No activa",INDEX(tablas!$B$3:$B$8,MATCH(S251,tablas!$C$3:$C$8,1)))</f>
        <v>N1</v>
      </c>
      <c r="U251" s="15" t="n">
        <f aca="false">IF(S251&lt;tablas!$C$3,0,INDEX(tablas!$D$3:$D$8,MATCH(S251,tablas!$C$3:$C$8,1)))</f>
        <v>0.3</v>
      </c>
      <c r="V251" s="16" t="n">
        <f aca="false">N(base!AQ251)</f>
        <v>0</v>
      </c>
      <c r="W251" s="7" t="n">
        <f aca="false">U251*V251</f>
        <v>0</v>
      </c>
      <c r="X251" s="4" t="str">
        <f aca="false">IF(R251&lt;tablas!$C$3,"No activa",INDEX(tablas!$B$3:$B$8,MATCH(R251,tablas!$C$3:$C$8,1)))</f>
        <v>No activa</v>
      </c>
      <c r="Y251" s="7" t="n">
        <f aca="false">IF(R251&lt;tablas!$C$3,0,INDEX(tablas!$D$3:$D$8,MATCH(R251,tablas!$C$3:$C$8,1)))*V251</f>
        <v>0</v>
      </c>
      <c r="Z251" s="4" t="str">
        <f aca="false">IF(S251&gt;=tablas!$C$3,"Activa",IF(S251&gt;=Parametros!$B$5,"Cerca","No activa"))</f>
        <v>Activa</v>
      </c>
      <c r="AA251" s="6" t="n">
        <f aca="false">MAX(0,tablas!$C$3-S251)</f>
        <v>0</v>
      </c>
    </row>
    <row r="252" customFormat="false" ht="15" hidden="false" customHeight="false" outlineLevel="0" collapsed="false">
      <c r="A252" s="14" t="str">
        <f aca="false">base!A252</f>
        <v>48007648-1</v>
      </c>
      <c r="B252" s="14" t="str">
        <f aca="false">base!E252</f>
        <v>Lima Sur</v>
      </c>
      <c r="C252" s="14" t="str">
        <f aca="false">base!D252</f>
        <v>Inbound</v>
      </c>
      <c r="D252" s="14" t="str">
        <f aca="false">base!F252</f>
        <v>NINO BELLIDO VALENZUELA</v>
      </c>
      <c r="E252" s="14" t="str">
        <f aca="false">base!G252</f>
        <v>JOSUE MORA SOLSOL</v>
      </c>
      <c r="F252" s="14" t="n">
        <f aca="false">N(base!O252)</f>
        <v>0</v>
      </c>
      <c r="G252" s="4" t="n">
        <f aca="false">SUM(base!U252:AF252)+N(base!AK252)</f>
        <v>4</v>
      </c>
      <c r="H252" s="14" t="n">
        <f aca="false">N(base!S252)</f>
        <v>8</v>
      </c>
      <c r="I252" s="6" t="n">
        <f aca="false">IFERROR(G252/H252,0)</f>
        <v>0.5</v>
      </c>
      <c r="J252" s="4" t="n">
        <f aca="false">SUM(base!AG252:AJ252)</f>
        <v>0</v>
      </c>
      <c r="K252" s="5" t="n">
        <f aca="false">IFERROR((base!AG252+base!AH252)/(base!K252+base!L252),0)</f>
        <v>0</v>
      </c>
      <c r="L252" s="5" t="n">
        <f aca="false">MAX(N(base!AI252),K252*N(base!M252))</f>
        <v>0</v>
      </c>
      <c r="M252" s="5" t="n">
        <f aca="false">MAX(N(base!AJ252),K252*N(base!N252))</f>
        <v>0</v>
      </c>
      <c r="N252" s="5" t="n">
        <f aca="false">base!AG252+base!AH252+L252+M252</f>
        <v>0</v>
      </c>
      <c r="O252" s="14" t="n">
        <f aca="false">N(base!T252)</f>
        <v>4</v>
      </c>
      <c r="P252" s="6" t="n">
        <f aca="false">IFERROR(J252/O252,0)</f>
        <v>0</v>
      </c>
      <c r="Q252" s="6" t="n">
        <f aca="false">IFERROR(N252/O252,0)</f>
        <v>0</v>
      </c>
      <c r="R252" s="6" t="n">
        <f aca="false">Parametros!$B$3*I252+Parametros!$B$4*P252</f>
        <v>0.35</v>
      </c>
      <c r="S252" s="6" t="n">
        <f aca="false">Parametros!$B$3*I252+Parametros!$B$4*Q252</f>
        <v>0.35</v>
      </c>
      <c r="T252" s="4" t="str">
        <f aca="false">IF(S252&lt;tablas!$C$3,"No activa",INDEX(tablas!$B$3:$B$8,MATCH(S252,tablas!$C$3:$C$8,1)))</f>
        <v>No activa</v>
      </c>
      <c r="U252" s="15" t="n">
        <f aca="false">IF(S252&lt;tablas!$C$3,0,INDEX(tablas!$D$3:$D$8,MATCH(S252,tablas!$C$3:$C$8,1)))</f>
        <v>0</v>
      </c>
      <c r="V252" s="16" t="n">
        <f aca="false">N(base!AQ252)</f>
        <v>0</v>
      </c>
      <c r="W252" s="7" t="n">
        <f aca="false">U252*V252</f>
        <v>0</v>
      </c>
      <c r="X252" s="4" t="str">
        <f aca="false">IF(R252&lt;tablas!$C$3,"No activa",INDEX(tablas!$B$3:$B$8,MATCH(R252,tablas!$C$3:$C$8,1)))</f>
        <v>No activa</v>
      </c>
      <c r="Y252" s="7" t="n">
        <f aca="false">IF(R252&lt;tablas!$C$3,0,INDEX(tablas!$D$3:$D$8,MATCH(R252,tablas!$C$3:$C$8,1)))*V252</f>
        <v>0</v>
      </c>
      <c r="Z252" s="4" t="str">
        <f aca="false">IF(S252&gt;=tablas!$C$3,"Activa",IF(S252&gt;=Parametros!$B$5,"Cerca","No activa"))</f>
        <v>No activa</v>
      </c>
      <c r="AA252" s="6" t="n">
        <f aca="false">MAX(0,tablas!$C$3-S252)</f>
        <v>0.45</v>
      </c>
    </row>
    <row r="253" customFormat="false" ht="15" hidden="false" customHeight="false" outlineLevel="0" collapsed="false">
      <c r="A253" s="14" t="str">
        <f aca="false">base!A253</f>
        <v>45315468-3</v>
      </c>
      <c r="B253" s="14" t="str">
        <f aca="false">base!E253</f>
        <v>Lima Sur</v>
      </c>
      <c r="C253" s="14" t="str">
        <f aca="false">base!D253</f>
        <v>Inbound</v>
      </c>
      <c r="D253" s="14" t="str">
        <f aca="false">base!F253</f>
        <v>NINO BELLIDO VALENZUELA</v>
      </c>
      <c r="E253" s="14" t="str">
        <f aca="false">base!G253</f>
        <v>JOSUE MORA SOLSOL</v>
      </c>
      <c r="F253" s="14" t="n">
        <f aca="false">N(base!O253)</f>
        <v>0</v>
      </c>
      <c r="G253" s="4" t="n">
        <f aca="false">SUM(base!U253:AF253)+N(base!AK253)</f>
        <v>3</v>
      </c>
      <c r="H253" s="14" t="n">
        <f aca="false">N(base!S253)</f>
        <v>8</v>
      </c>
      <c r="I253" s="6" t="n">
        <f aca="false">IFERROR(G253/H253,0)</f>
        <v>0.375</v>
      </c>
      <c r="J253" s="4" t="n">
        <f aca="false">SUM(base!AG253:AJ253)</f>
        <v>0</v>
      </c>
      <c r="K253" s="5" t="n">
        <f aca="false">IFERROR((base!AG253+base!AH253)/(base!K253+base!L253),0)</f>
        <v>0</v>
      </c>
      <c r="L253" s="5" t="n">
        <f aca="false">MAX(N(base!AI253),K253*N(base!M253))</f>
        <v>0</v>
      </c>
      <c r="M253" s="5" t="n">
        <f aca="false">MAX(N(base!AJ253),K253*N(base!N253))</f>
        <v>0</v>
      </c>
      <c r="N253" s="5" t="n">
        <f aca="false">base!AG253+base!AH253+L253+M253</f>
        <v>0</v>
      </c>
      <c r="O253" s="14" t="n">
        <f aca="false">N(base!T253)</f>
        <v>5</v>
      </c>
      <c r="P253" s="6" t="n">
        <f aca="false">IFERROR(J253/O253,0)</f>
        <v>0</v>
      </c>
      <c r="Q253" s="6" t="n">
        <f aca="false">IFERROR(N253/O253,0)</f>
        <v>0</v>
      </c>
      <c r="R253" s="6" t="n">
        <f aca="false">Parametros!$B$3*I253+Parametros!$B$4*P253</f>
        <v>0.2625</v>
      </c>
      <c r="S253" s="6" t="n">
        <f aca="false">Parametros!$B$3*I253+Parametros!$B$4*Q253</f>
        <v>0.2625</v>
      </c>
      <c r="T253" s="4" t="str">
        <f aca="false">IF(S253&lt;tablas!$C$3,"No activa",INDEX(tablas!$B$3:$B$8,MATCH(S253,tablas!$C$3:$C$8,1)))</f>
        <v>No activa</v>
      </c>
      <c r="U253" s="15" t="n">
        <f aca="false">IF(S253&lt;tablas!$C$3,0,INDEX(tablas!$D$3:$D$8,MATCH(S253,tablas!$C$3:$C$8,1)))</f>
        <v>0</v>
      </c>
      <c r="V253" s="16" t="n">
        <f aca="false">N(base!AQ253)</f>
        <v>0</v>
      </c>
      <c r="W253" s="7" t="n">
        <f aca="false">U253*V253</f>
        <v>0</v>
      </c>
      <c r="X253" s="4" t="str">
        <f aca="false">IF(R253&lt;tablas!$C$3,"No activa",INDEX(tablas!$B$3:$B$8,MATCH(R253,tablas!$C$3:$C$8,1)))</f>
        <v>No activa</v>
      </c>
      <c r="Y253" s="7" t="n">
        <f aca="false">IF(R253&lt;tablas!$C$3,0,INDEX(tablas!$D$3:$D$8,MATCH(R253,tablas!$C$3:$C$8,1)))*V253</f>
        <v>0</v>
      </c>
      <c r="Z253" s="4" t="str">
        <f aca="false">IF(S253&gt;=tablas!$C$3,"Activa",IF(S253&gt;=Parametros!$B$5,"Cerca","No activa"))</f>
        <v>No activa</v>
      </c>
      <c r="AA253" s="6" t="n">
        <f aca="false">MAX(0,tablas!$C$3-S253)</f>
        <v>0.5375</v>
      </c>
    </row>
    <row r="254" customFormat="false" ht="15" hidden="false" customHeight="false" outlineLevel="0" collapsed="false">
      <c r="A254" s="14" t="str">
        <f aca="false">base!A254</f>
        <v>46138595-3</v>
      </c>
      <c r="B254" s="14" t="str">
        <f aca="false">base!E254</f>
        <v>Lima Sur</v>
      </c>
      <c r="C254" s="14" t="str">
        <f aca="false">base!D254</f>
        <v>Inbound</v>
      </c>
      <c r="D254" s="14" t="str">
        <f aca="false">base!F254</f>
        <v>NINO BELLIDO VALENZUELA</v>
      </c>
      <c r="E254" s="14" t="str">
        <f aca="false">base!G254</f>
        <v>JOSUE MORA SOLSOL</v>
      </c>
      <c r="F254" s="14" t="n">
        <f aca="false">N(base!O254)</f>
        <v>0</v>
      </c>
      <c r="G254" s="4" t="n">
        <f aca="false">SUM(base!U254:AF254)+N(base!AK254)</f>
        <v>5</v>
      </c>
      <c r="H254" s="14" t="n">
        <f aca="false">N(base!S254)</f>
        <v>8</v>
      </c>
      <c r="I254" s="6" t="n">
        <f aca="false">IFERROR(G254/H254,0)</f>
        <v>0.625</v>
      </c>
      <c r="J254" s="4" t="n">
        <f aca="false">SUM(base!AG254:AJ254)</f>
        <v>2</v>
      </c>
      <c r="K254" s="5" t="n">
        <f aca="false">IFERROR((base!AG254+base!AH254)/(base!K254+base!L254),0)</f>
        <v>1</v>
      </c>
      <c r="L254" s="5" t="n">
        <f aca="false">MAX(N(base!AI254),K254*N(base!M254))</f>
        <v>1</v>
      </c>
      <c r="M254" s="5" t="n">
        <f aca="false">MAX(N(base!AJ254),K254*N(base!N254))</f>
        <v>1</v>
      </c>
      <c r="N254" s="5" t="n">
        <f aca="false">base!AG254+base!AH254+L254+M254</f>
        <v>4</v>
      </c>
      <c r="O254" s="14" t="n">
        <f aca="false">N(base!T254)</f>
        <v>4</v>
      </c>
      <c r="P254" s="6" t="n">
        <f aca="false">IFERROR(J254/O254,0)</f>
        <v>0.5</v>
      </c>
      <c r="Q254" s="6" t="n">
        <f aca="false">IFERROR(N254/O254,0)</f>
        <v>1</v>
      </c>
      <c r="R254" s="6" t="n">
        <f aca="false">Parametros!$B$3*I254+Parametros!$B$4*P254</f>
        <v>0.5875</v>
      </c>
      <c r="S254" s="6" t="n">
        <f aca="false">Parametros!$B$3*I254+Parametros!$B$4*Q254</f>
        <v>0.7375</v>
      </c>
      <c r="T254" s="4" t="str">
        <f aca="false">IF(S254&lt;tablas!$C$3,"No activa",INDEX(tablas!$B$3:$B$8,MATCH(S254,tablas!$C$3:$C$8,1)))</f>
        <v>No activa</v>
      </c>
      <c r="U254" s="15" t="n">
        <f aca="false">IF(S254&lt;tablas!$C$3,0,INDEX(tablas!$D$3:$D$8,MATCH(S254,tablas!$C$3:$C$8,1)))</f>
        <v>0</v>
      </c>
      <c r="V254" s="16" t="n">
        <f aca="false">N(base!AQ254)</f>
        <v>0</v>
      </c>
      <c r="W254" s="7" t="n">
        <f aca="false">U254*V254</f>
        <v>0</v>
      </c>
      <c r="X254" s="4" t="str">
        <f aca="false">IF(R254&lt;tablas!$C$3,"No activa",INDEX(tablas!$B$3:$B$8,MATCH(R254,tablas!$C$3:$C$8,1)))</f>
        <v>No activa</v>
      </c>
      <c r="Y254" s="7" t="n">
        <f aca="false">IF(R254&lt;tablas!$C$3,0,INDEX(tablas!$D$3:$D$8,MATCH(R254,tablas!$C$3:$C$8,1)))*V254</f>
        <v>0</v>
      </c>
      <c r="Z254" s="4" t="str">
        <f aca="false">IF(S254&gt;=tablas!$C$3,"Activa",IF(S254&gt;=Parametros!$B$5,"Cerca","No activa"))</f>
        <v>Cerca</v>
      </c>
      <c r="AA254" s="6" t="n">
        <f aca="false">MAX(0,tablas!$C$3-S254)</f>
        <v>0.0625</v>
      </c>
    </row>
    <row r="255" customFormat="false" ht="15" hidden="false" customHeight="false" outlineLevel="0" collapsed="false">
      <c r="A255" s="14" t="str">
        <f aca="false">base!A255</f>
        <v>48045946-1</v>
      </c>
      <c r="B255" s="14" t="str">
        <f aca="false">base!E255</f>
        <v>Lima Sur</v>
      </c>
      <c r="C255" s="14" t="str">
        <f aca="false">base!D255</f>
        <v>Inbound</v>
      </c>
      <c r="D255" s="14" t="str">
        <f aca="false">base!F255</f>
        <v>NINO BELLIDO VALENZUELA</v>
      </c>
      <c r="E255" s="14" t="str">
        <f aca="false">base!G255</f>
        <v>JOSUE MORA SOLSOL</v>
      </c>
      <c r="F255" s="14" t="n">
        <f aca="false">N(base!O255)</f>
        <v>0</v>
      </c>
      <c r="G255" s="4" t="n">
        <f aca="false">SUM(base!U255:AF255)+N(base!AK255)</f>
        <v>9</v>
      </c>
      <c r="H255" s="14" t="n">
        <f aca="false">N(base!S255)</f>
        <v>8</v>
      </c>
      <c r="I255" s="6" t="n">
        <f aca="false">IFERROR(G255/H255,0)</f>
        <v>1.125</v>
      </c>
      <c r="J255" s="4" t="n">
        <f aca="false">SUM(base!AG255:AJ255)</f>
        <v>0</v>
      </c>
      <c r="K255" s="5" t="n">
        <f aca="false">IFERROR((base!AG255+base!AH255)/(base!K255+base!L255),0)</f>
        <v>0</v>
      </c>
      <c r="L255" s="5" t="n">
        <f aca="false">MAX(N(base!AI255),K255*N(base!M255))</f>
        <v>0</v>
      </c>
      <c r="M255" s="5" t="n">
        <f aca="false">MAX(N(base!AJ255),K255*N(base!N255))</f>
        <v>0</v>
      </c>
      <c r="N255" s="5" t="n">
        <f aca="false">base!AG255+base!AH255+L255+M255</f>
        <v>0</v>
      </c>
      <c r="O255" s="14" t="n">
        <f aca="false">N(base!T255)</f>
        <v>11</v>
      </c>
      <c r="P255" s="6" t="n">
        <f aca="false">IFERROR(J255/O255,0)</f>
        <v>0</v>
      </c>
      <c r="Q255" s="6" t="n">
        <f aca="false">IFERROR(N255/O255,0)</f>
        <v>0</v>
      </c>
      <c r="R255" s="6" t="n">
        <f aca="false">Parametros!$B$3*I255+Parametros!$B$4*P255</f>
        <v>0.7875</v>
      </c>
      <c r="S255" s="6" t="n">
        <f aca="false">Parametros!$B$3*I255+Parametros!$B$4*Q255</f>
        <v>0.7875</v>
      </c>
      <c r="T255" s="4" t="str">
        <f aca="false">IF(S255&lt;tablas!$C$3,"No activa",INDEX(tablas!$B$3:$B$8,MATCH(S255,tablas!$C$3:$C$8,1)))</f>
        <v>No activa</v>
      </c>
      <c r="U255" s="15" t="n">
        <f aca="false">IF(S255&lt;tablas!$C$3,0,INDEX(tablas!$D$3:$D$8,MATCH(S255,tablas!$C$3:$C$8,1)))</f>
        <v>0</v>
      </c>
      <c r="V255" s="16" t="n">
        <f aca="false">N(base!AQ255)</f>
        <v>0</v>
      </c>
      <c r="W255" s="7" t="n">
        <f aca="false">U255*V255</f>
        <v>0</v>
      </c>
      <c r="X255" s="4" t="str">
        <f aca="false">IF(R255&lt;tablas!$C$3,"No activa",INDEX(tablas!$B$3:$B$8,MATCH(R255,tablas!$C$3:$C$8,1)))</f>
        <v>No activa</v>
      </c>
      <c r="Y255" s="7" t="n">
        <f aca="false">IF(R255&lt;tablas!$C$3,0,INDEX(tablas!$D$3:$D$8,MATCH(R255,tablas!$C$3:$C$8,1)))*V255</f>
        <v>0</v>
      </c>
      <c r="Z255" s="4" t="str">
        <f aca="false">IF(S255&gt;=tablas!$C$3,"Activa",IF(S255&gt;=Parametros!$B$5,"Cerca","No activa"))</f>
        <v>Cerca</v>
      </c>
      <c r="AA255" s="6" t="n">
        <f aca="false">MAX(0,tablas!$C$3-S255)</f>
        <v>0.0125000000000001</v>
      </c>
    </row>
    <row r="256" customFormat="false" ht="15" hidden="false" customHeight="false" outlineLevel="0" collapsed="false">
      <c r="A256" s="14" t="str">
        <f aca="false">base!A256</f>
        <v>76777570-4</v>
      </c>
      <c r="B256" s="14" t="str">
        <f aca="false">base!E256</f>
        <v>Lima Sur</v>
      </c>
      <c r="C256" s="14" t="str">
        <f aca="false">base!D256</f>
        <v>Inbound</v>
      </c>
      <c r="D256" s="14" t="str">
        <f aca="false">base!F256</f>
        <v>NINO BELLIDO VALENZUELA</v>
      </c>
      <c r="E256" s="14" t="str">
        <f aca="false">base!G256</f>
        <v>JOSUE MORA SOLSOL</v>
      </c>
      <c r="F256" s="14" t="n">
        <f aca="false">N(base!O256)</f>
        <v>0</v>
      </c>
      <c r="G256" s="4" t="n">
        <f aca="false">SUM(base!U256:AF256)+N(base!AK256)</f>
        <v>7</v>
      </c>
      <c r="H256" s="14" t="n">
        <f aca="false">N(base!S256)</f>
        <v>8</v>
      </c>
      <c r="I256" s="6" t="n">
        <f aca="false">IFERROR(G256/H256,0)</f>
        <v>0.875</v>
      </c>
      <c r="J256" s="4" t="n">
        <f aca="false">SUM(base!AG256:AJ256)</f>
        <v>0</v>
      </c>
      <c r="K256" s="5" t="n">
        <f aca="false">IFERROR((base!AG256+base!AH256)/(base!K256+base!L256),0)</f>
        <v>0</v>
      </c>
      <c r="L256" s="5" t="n">
        <f aca="false">MAX(N(base!AI256),K256*N(base!M256))</f>
        <v>0</v>
      </c>
      <c r="M256" s="5" t="n">
        <f aca="false">MAX(N(base!AJ256),K256*N(base!N256))</f>
        <v>0</v>
      </c>
      <c r="N256" s="5" t="n">
        <f aca="false">base!AG256+base!AH256+L256+M256</f>
        <v>0</v>
      </c>
      <c r="O256" s="14" t="n">
        <f aca="false">N(base!T256)</f>
        <v>19</v>
      </c>
      <c r="P256" s="6" t="n">
        <f aca="false">IFERROR(J256/O256,0)</f>
        <v>0</v>
      </c>
      <c r="Q256" s="6" t="n">
        <f aca="false">IFERROR(N256/O256,0)</f>
        <v>0</v>
      </c>
      <c r="R256" s="6" t="n">
        <f aca="false">Parametros!$B$3*I256+Parametros!$B$4*P256</f>
        <v>0.6125</v>
      </c>
      <c r="S256" s="6" t="n">
        <f aca="false">Parametros!$B$3*I256+Parametros!$B$4*Q256</f>
        <v>0.6125</v>
      </c>
      <c r="T256" s="4" t="str">
        <f aca="false">IF(S256&lt;tablas!$C$3,"No activa",INDEX(tablas!$B$3:$B$8,MATCH(S256,tablas!$C$3:$C$8,1)))</f>
        <v>No activa</v>
      </c>
      <c r="U256" s="15" t="n">
        <f aca="false">IF(S256&lt;tablas!$C$3,0,INDEX(tablas!$D$3:$D$8,MATCH(S256,tablas!$C$3:$C$8,1)))</f>
        <v>0</v>
      </c>
      <c r="V256" s="16" t="n">
        <f aca="false">N(base!AQ256)</f>
        <v>0</v>
      </c>
      <c r="W256" s="7" t="n">
        <f aca="false">U256*V256</f>
        <v>0</v>
      </c>
      <c r="X256" s="4" t="str">
        <f aca="false">IF(R256&lt;tablas!$C$3,"No activa",INDEX(tablas!$B$3:$B$8,MATCH(R256,tablas!$C$3:$C$8,1)))</f>
        <v>No activa</v>
      </c>
      <c r="Y256" s="7" t="n">
        <f aca="false">IF(R256&lt;tablas!$C$3,0,INDEX(tablas!$D$3:$D$8,MATCH(R256,tablas!$C$3:$C$8,1)))*V256</f>
        <v>0</v>
      </c>
      <c r="Z256" s="4" t="str">
        <f aca="false">IF(S256&gt;=tablas!$C$3,"Activa",IF(S256&gt;=Parametros!$B$5,"Cerca","No activa"))</f>
        <v>No activa</v>
      </c>
      <c r="AA256" s="6" t="n">
        <f aca="false">MAX(0,tablas!$C$3-S256)</f>
        <v>0.1875</v>
      </c>
    </row>
    <row r="257" customFormat="false" ht="15" hidden="false" customHeight="false" outlineLevel="0" collapsed="false">
      <c r="A257" s="14" t="str">
        <f aca="false">base!A257</f>
        <v>71833088-8</v>
      </c>
      <c r="B257" s="14" t="str">
        <f aca="false">base!E257</f>
        <v>Lima Sur</v>
      </c>
      <c r="C257" s="14" t="str">
        <f aca="false">base!D257</f>
        <v>Inbound</v>
      </c>
      <c r="D257" s="14" t="str">
        <f aca="false">base!F257</f>
        <v>NINO BELLIDO VALENZUELA</v>
      </c>
      <c r="E257" s="14" t="str">
        <f aca="false">base!G257</f>
        <v>JOSUE MORA SOLSOL</v>
      </c>
      <c r="F257" s="14" t="n">
        <f aca="false">N(base!O257)</f>
        <v>0</v>
      </c>
      <c r="G257" s="4" t="n">
        <f aca="false">SUM(base!U257:AF257)+N(base!AK257)</f>
        <v>0</v>
      </c>
      <c r="H257" s="14" t="n">
        <f aca="false">N(base!S257)</f>
        <v>7</v>
      </c>
      <c r="I257" s="6" t="n">
        <f aca="false">IFERROR(G257/H257,0)</f>
        <v>0</v>
      </c>
      <c r="J257" s="4" t="n">
        <f aca="false">SUM(base!AG257:AJ257)</f>
        <v>0</v>
      </c>
      <c r="K257" s="5" t="n">
        <f aca="false">IFERROR((base!AG257+base!AH257)/(base!K257+base!L257),0)</f>
        <v>0</v>
      </c>
      <c r="L257" s="5" t="n">
        <f aca="false">MAX(N(base!AI257),K257*N(base!M257))</f>
        <v>0</v>
      </c>
      <c r="M257" s="5" t="n">
        <f aca="false">MAX(N(base!AJ257),K257*N(base!N257))</f>
        <v>0</v>
      </c>
      <c r="N257" s="5" t="n">
        <f aca="false">base!AG257+base!AH257+L257+M257</f>
        <v>0</v>
      </c>
      <c r="O257" s="14" t="n">
        <f aca="false">N(base!T257)</f>
        <v>18</v>
      </c>
      <c r="P257" s="6" t="n">
        <f aca="false">IFERROR(J257/O257,0)</f>
        <v>0</v>
      </c>
      <c r="Q257" s="6" t="n">
        <f aca="false">IFERROR(N257/O257,0)</f>
        <v>0</v>
      </c>
      <c r="R257" s="6" t="n">
        <f aca="false">Parametros!$B$3*I257+Parametros!$B$4*P257</f>
        <v>0</v>
      </c>
      <c r="S257" s="6" t="n">
        <f aca="false">Parametros!$B$3*I257+Parametros!$B$4*Q257</f>
        <v>0</v>
      </c>
      <c r="T257" s="4" t="str">
        <f aca="false">IF(S257&lt;tablas!$C$3,"No activa",INDEX(tablas!$B$3:$B$8,MATCH(S257,tablas!$C$3:$C$8,1)))</f>
        <v>No activa</v>
      </c>
      <c r="U257" s="15" t="n">
        <f aca="false">IF(S257&lt;tablas!$C$3,0,INDEX(tablas!$D$3:$D$8,MATCH(S257,tablas!$C$3:$C$8,1)))</f>
        <v>0</v>
      </c>
      <c r="V257" s="16" t="n">
        <f aca="false">N(base!AQ257)</f>
        <v>0</v>
      </c>
      <c r="W257" s="7" t="n">
        <f aca="false">U257*V257</f>
        <v>0</v>
      </c>
      <c r="X257" s="4" t="str">
        <f aca="false">IF(R257&lt;tablas!$C$3,"No activa",INDEX(tablas!$B$3:$B$8,MATCH(R257,tablas!$C$3:$C$8,1)))</f>
        <v>No activa</v>
      </c>
      <c r="Y257" s="7" t="n">
        <f aca="false">IF(R257&lt;tablas!$C$3,0,INDEX(tablas!$D$3:$D$8,MATCH(R257,tablas!$C$3:$C$8,1)))*V257</f>
        <v>0</v>
      </c>
      <c r="Z257" s="4" t="str">
        <f aca="false">IF(S257&gt;=tablas!$C$3,"Activa",IF(S257&gt;=Parametros!$B$5,"Cerca","No activa"))</f>
        <v>No activa</v>
      </c>
      <c r="AA257" s="6" t="n">
        <f aca="false">MAX(0,tablas!$C$3-S257)</f>
        <v>0.8</v>
      </c>
    </row>
    <row r="258" customFormat="false" ht="15" hidden="false" customHeight="false" outlineLevel="0" collapsed="false">
      <c r="A258" s="14" t="str">
        <f aca="false">base!A258</f>
        <v>74430078-4</v>
      </c>
      <c r="B258" s="14" t="str">
        <f aca="false">base!E258</f>
        <v>Lima Sur</v>
      </c>
      <c r="C258" s="14" t="str">
        <f aca="false">base!D258</f>
        <v>Inbound</v>
      </c>
      <c r="D258" s="14" t="str">
        <f aca="false">base!F258</f>
        <v>NINO BELLIDO VALENZUELA</v>
      </c>
      <c r="E258" s="14" t="str">
        <f aca="false">base!G258</f>
        <v>JOSUE MORA SOLSOL</v>
      </c>
      <c r="F258" s="14" t="n">
        <f aca="false">N(base!O258)</f>
        <v>0</v>
      </c>
      <c r="G258" s="4" t="n">
        <f aca="false">SUM(base!U258:AF258)+N(base!AK258)</f>
        <v>4</v>
      </c>
      <c r="H258" s="14" t="n">
        <f aca="false">N(base!S258)</f>
        <v>8</v>
      </c>
      <c r="I258" s="6" t="n">
        <f aca="false">IFERROR(G258/H258,0)</f>
        <v>0.5</v>
      </c>
      <c r="J258" s="4" t="n">
        <f aca="false">SUM(base!AG258:AJ258)</f>
        <v>3</v>
      </c>
      <c r="K258" s="5" t="n">
        <f aca="false">IFERROR((base!AG258+base!AH258)/(base!K258+base!L258),0)</f>
        <v>1.5</v>
      </c>
      <c r="L258" s="5" t="n">
        <f aca="false">MAX(N(base!AI258),K258*N(base!M258))</f>
        <v>1.5</v>
      </c>
      <c r="M258" s="5" t="n">
        <f aca="false">MAX(N(base!AJ258),K258*N(base!N258))</f>
        <v>1.5</v>
      </c>
      <c r="N258" s="5" t="n">
        <f aca="false">base!AG258+base!AH258+L258+M258</f>
        <v>6</v>
      </c>
      <c r="O258" s="14" t="n">
        <f aca="false">N(base!T258)</f>
        <v>5</v>
      </c>
      <c r="P258" s="6" t="n">
        <f aca="false">IFERROR(J258/O258,0)</f>
        <v>0.6</v>
      </c>
      <c r="Q258" s="6" t="n">
        <f aca="false">IFERROR(N258/O258,0)</f>
        <v>1.2</v>
      </c>
      <c r="R258" s="6" t="n">
        <f aca="false">Parametros!$B$3*I258+Parametros!$B$4*P258</f>
        <v>0.53</v>
      </c>
      <c r="S258" s="6" t="n">
        <f aca="false">Parametros!$B$3*I258+Parametros!$B$4*Q258</f>
        <v>0.71</v>
      </c>
      <c r="T258" s="4" t="str">
        <f aca="false">IF(S258&lt;tablas!$C$3,"No activa",INDEX(tablas!$B$3:$B$8,MATCH(S258,tablas!$C$3:$C$8,1)))</f>
        <v>No activa</v>
      </c>
      <c r="U258" s="15" t="n">
        <f aca="false">IF(S258&lt;tablas!$C$3,0,INDEX(tablas!$D$3:$D$8,MATCH(S258,tablas!$C$3:$C$8,1)))</f>
        <v>0</v>
      </c>
      <c r="V258" s="16" t="n">
        <f aca="false">N(base!AQ258)</f>
        <v>0</v>
      </c>
      <c r="W258" s="7" t="n">
        <f aca="false">U258*V258</f>
        <v>0</v>
      </c>
      <c r="X258" s="4" t="str">
        <f aca="false">IF(R258&lt;tablas!$C$3,"No activa",INDEX(tablas!$B$3:$B$8,MATCH(R258,tablas!$C$3:$C$8,1)))</f>
        <v>No activa</v>
      </c>
      <c r="Y258" s="7" t="n">
        <f aca="false">IF(R258&lt;tablas!$C$3,0,INDEX(tablas!$D$3:$D$8,MATCH(R258,tablas!$C$3:$C$8,1)))*V258</f>
        <v>0</v>
      </c>
      <c r="Z258" s="4" t="str">
        <f aca="false">IF(S258&gt;=tablas!$C$3,"Activa",IF(S258&gt;=Parametros!$B$5,"Cerca","No activa"))</f>
        <v>Cerca</v>
      </c>
      <c r="AA258" s="6" t="n">
        <f aca="false">MAX(0,tablas!$C$3-S258)</f>
        <v>0.0900000000000001</v>
      </c>
    </row>
    <row r="259" customFormat="false" ht="15" hidden="false" customHeight="false" outlineLevel="0" collapsed="false">
      <c r="A259" s="14" t="str">
        <f aca="false">base!A259</f>
        <v>70732649-8</v>
      </c>
      <c r="B259" s="14" t="str">
        <f aca="false">base!E259</f>
        <v>Lima Sur</v>
      </c>
      <c r="C259" s="14" t="str">
        <f aca="false">base!D259</f>
        <v>Inbound</v>
      </c>
      <c r="D259" s="14" t="str">
        <f aca="false">base!F259</f>
        <v>NINO BELLIDO VALENZUELA</v>
      </c>
      <c r="E259" s="14" t="str">
        <f aca="false">base!G259</f>
        <v>JOSUE MORA SOLSOL</v>
      </c>
      <c r="F259" s="14" t="n">
        <f aca="false">N(base!O259)</f>
        <v>0</v>
      </c>
      <c r="G259" s="4" t="n">
        <f aca="false">SUM(base!U259:AF259)+N(base!AK259)</f>
        <v>3</v>
      </c>
      <c r="H259" s="14" t="n">
        <f aca="false">N(base!S259)</f>
        <v>8</v>
      </c>
      <c r="I259" s="6" t="n">
        <f aca="false">IFERROR(G259/H259,0)</f>
        <v>0.375</v>
      </c>
      <c r="J259" s="4" t="n">
        <f aca="false">SUM(base!AG259:AJ259)</f>
        <v>0</v>
      </c>
      <c r="K259" s="5" t="n">
        <f aca="false">IFERROR((base!AG259+base!AH259)/(base!K259+base!L259),0)</f>
        <v>0</v>
      </c>
      <c r="L259" s="5" t="n">
        <f aca="false">MAX(N(base!AI259),K259*N(base!M259))</f>
        <v>0</v>
      </c>
      <c r="M259" s="5" t="n">
        <f aca="false">MAX(N(base!AJ259),K259*N(base!N259))</f>
        <v>0</v>
      </c>
      <c r="N259" s="5" t="n">
        <f aca="false">base!AG259+base!AH259+L259+M259</f>
        <v>0</v>
      </c>
      <c r="O259" s="14" t="n">
        <f aca="false">N(base!T259)</f>
        <v>21</v>
      </c>
      <c r="P259" s="6" t="n">
        <f aca="false">IFERROR(J259/O259,0)</f>
        <v>0</v>
      </c>
      <c r="Q259" s="6" t="n">
        <f aca="false">IFERROR(N259/O259,0)</f>
        <v>0</v>
      </c>
      <c r="R259" s="6" t="n">
        <f aca="false">Parametros!$B$3*I259+Parametros!$B$4*P259</f>
        <v>0.2625</v>
      </c>
      <c r="S259" s="6" t="n">
        <f aca="false">Parametros!$B$3*I259+Parametros!$B$4*Q259</f>
        <v>0.2625</v>
      </c>
      <c r="T259" s="4" t="str">
        <f aca="false">IF(S259&lt;tablas!$C$3,"No activa",INDEX(tablas!$B$3:$B$8,MATCH(S259,tablas!$C$3:$C$8,1)))</f>
        <v>No activa</v>
      </c>
      <c r="U259" s="15" t="n">
        <f aca="false">IF(S259&lt;tablas!$C$3,0,INDEX(tablas!$D$3:$D$8,MATCH(S259,tablas!$C$3:$C$8,1)))</f>
        <v>0</v>
      </c>
      <c r="V259" s="16" t="n">
        <f aca="false">N(base!AQ259)</f>
        <v>0</v>
      </c>
      <c r="W259" s="7" t="n">
        <f aca="false">U259*V259</f>
        <v>0</v>
      </c>
      <c r="X259" s="4" t="str">
        <f aca="false">IF(R259&lt;tablas!$C$3,"No activa",INDEX(tablas!$B$3:$B$8,MATCH(R259,tablas!$C$3:$C$8,1)))</f>
        <v>No activa</v>
      </c>
      <c r="Y259" s="7" t="n">
        <f aca="false">IF(R259&lt;tablas!$C$3,0,INDEX(tablas!$D$3:$D$8,MATCH(R259,tablas!$C$3:$C$8,1)))*V259</f>
        <v>0</v>
      </c>
      <c r="Z259" s="4" t="str">
        <f aca="false">IF(S259&gt;=tablas!$C$3,"Activa",IF(S259&gt;=Parametros!$B$5,"Cerca","No activa"))</f>
        <v>No activa</v>
      </c>
      <c r="AA259" s="6" t="n">
        <f aca="false">MAX(0,tablas!$C$3-S259)</f>
        <v>0.5375</v>
      </c>
    </row>
    <row r="260" customFormat="false" ht="15" hidden="false" customHeight="false" outlineLevel="0" collapsed="false">
      <c r="A260" s="14" t="str">
        <f aca="false">base!A260</f>
        <v>73234438-7</v>
      </c>
      <c r="B260" s="14" t="str">
        <f aca="false">base!E260</f>
        <v>Lima Sur</v>
      </c>
      <c r="C260" s="14" t="str">
        <f aca="false">base!D260</f>
        <v>Outbound</v>
      </c>
      <c r="D260" s="14" t="str">
        <f aca="false">base!F260</f>
        <v>LILIANA SEJO SUAREZ</v>
      </c>
      <c r="E260" s="14" t="str">
        <f aca="false">base!G260</f>
        <v>JOSUE MORA SOLSOL</v>
      </c>
      <c r="F260" s="14" t="n">
        <f aca="false">N(base!O260)</f>
        <v>0</v>
      </c>
      <c r="G260" s="4" t="n">
        <f aca="false">SUM(base!U260:AF260)+N(base!AK260)</f>
        <v>4</v>
      </c>
      <c r="H260" s="14" t="n">
        <f aca="false">N(base!S260)</f>
        <v>3</v>
      </c>
      <c r="I260" s="6" t="n">
        <f aca="false">IFERROR(G260/H260,0)</f>
        <v>1.33333333333333</v>
      </c>
      <c r="J260" s="4" t="n">
        <f aca="false">SUM(base!AG260:AJ260)</f>
        <v>0</v>
      </c>
      <c r="K260" s="5" t="n">
        <f aca="false">IFERROR((base!AG260+base!AH260)/(base!K260+base!L260),0)</f>
        <v>0</v>
      </c>
      <c r="L260" s="5" t="n">
        <f aca="false">MAX(N(base!AI260),K260*N(base!M260))</f>
        <v>0</v>
      </c>
      <c r="M260" s="5" t="n">
        <f aca="false">MAX(N(base!AJ260),K260*N(base!N260))</f>
        <v>0</v>
      </c>
      <c r="N260" s="5" t="n">
        <f aca="false">base!AG260+base!AH260+L260+M260</f>
        <v>0</v>
      </c>
      <c r="O260" s="14" t="n">
        <f aca="false">N(base!T260)</f>
        <v>9</v>
      </c>
      <c r="P260" s="6" t="n">
        <f aca="false">IFERROR(J260/O260,0)</f>
        <v>0</v>
      </c>
      <c r="Q260" s="6" t="n">
        <f aca="false">IFERROR(N260/O260,0)</f>
        <v>0</v>
      </c>
      <c r="R260" s="6" t="n">
        <f aca="false">Parametros!$B$3*I260+Parametros!$B$4*P260</f>
        <v>0.933333333333333</v>
      </c>
      <c r="S260" s="6" t="n">
        <f aca="false">Parametros!$B$3*I260+Parametros!$B$4*Q260</f>
        <v>0.933333333333333</v>
      </c>
      <c r="T260" s="4" t="str">
        <f aca="false">IF(S260&lt;tablas!$C$3,"No activa",INDEX(tablas!$B$3:$B$8,MATCH(S260,tablas!$C$3:$C$8,1)))</f>
        <v>N2</v>
      </c>
      <c r="U260" s="15" t="n">
        <f aca="false">IF(S260&lt;tablas!$C$3,0,INDEX(tablas!$D$3:$D$8,MATCH(S260,tablas!$C$3:$C$8,1)))</f>
        <v>0.9</v>
      </c>
      <c r="V260" s="16" t="n">
        <f aca="false">N(base!AQ260)</f>
        <v>0</v>
      </c>
      <c r="W260" s="7" t="n">
        <f aca="false">U260*V260</f>
        <v>0</v>
      </c>
      <c r="X260" s="4" t="str">
        <f aca="false">IF(R260&lt;tablas!$C$3,"No activa",INDEX(tablas!$B$3:$B$8,MATCH(R260,tablas!$C$3:$C$8,1)))</f>
        <v>N2</v>
      </c>
      <c r="Y260" s="7" t="n">
        <f aca="false">IF(R260&lt;tablas!$C$3,0,INDEX(tablas!$D$3:$D$8,MATCH(R260,tablas!$C$3:$C$8,1)))*V260</f>
        <v>0</v>
      </c>
      <c r="Z260" s="4" t="str">
        <f aca="false">IF(S260&gt;=tablas!$C$3,"Activa",IF(S260&gt;=Parametros!$B$5,"Cerca","No activa"))</f>
        <v>Activa</v>
      </c>
      <c r="AA260" s="6" t="n">
        <f aca="false">MAX(0,tablas!$C$3-S260)</f>
        <v>0</v>
      </c>
    </row>
    <row r="261" customFormat="false" ht="15" hidden="false" customHeight="false" outlineLevel="0" collapsed="false">
      <c r="A261" s="14" t="str">
        <f aca="false">base!A261</f>
        <v>76655978-1</v>
      </c>
      <c r="B261" s="14" t="str">
        <f aca="false">base!E261</f>
        <v>Lima Sur</v>
      </c>
      <c r="C261" s="14" t="str">
        <f aca="false">base!D261</f>
        <v>Outbound</v>
      </c>
      <c r="D261" s="14" t="str">
        <f aca="false">base!F261</f>
        <v>LILIANA SEJO SUAREZ</v>
      </c>
      <c r="E261" s="14" t="str">
        <f aca="false">base!G261</f>
        <v>JOSUE MORA SOLSOL</v>
      </c>
      <c r="F261" s="14" t="n">
        <f aca="false">N(base!O261)</f>
        <v>0</v>
      </c>
      <c r="G261" s="4" t="n">
        <f aca="false">SUM(base!U261:AF261)+N(base!AK261)</f>
        <v>0</v>
      </c>
      <c r="H261" s="14" t="n">
        <f aca="false">N(base!S261)</f>
        <v>3</v>
      </c>
      <c r="I261" s="6" t="n">
        <f aca="false">IFERROR(G261/H261,0)</f>
        <v>0</v>
      </c>
      <c r="J261" s="4" t="n">
        <f aca="false">SUM(base!AG261:AJ261)</f>
        <v>0</v>
      </c>
      <c r="K261" s="5" t="n">
        <f aca="false">IFERROR((base!AG261+base!AH261)/(base!K261+base!L261),0)</f>
        <v>0</v>
      </c>
      <c r="L261" s="5" t="n">
        <f aca="false">MAX(N(base!AI261),K261*N(base!M261))</f>
        <v>0</v>
      </c>
      <c r="M261" s="5" t="n">
        <f aca="false">MAX(N(base!AJ261),K261*N(base!N261))</f>
        <v>0</v>
      </c>
      <c r="N261" s="5" t="n">
        <f aca="false">base!AG261+base!AH261+L261+M261</f>
        <v>0</v>
      </c>
      <c r="O261" s="14" t="n">
        <f aca="false">N(base!T261)</f>
        <v>2</v>
      </c>
      <c r="P261" s="6" t="n">
        <f aca="false">IFERROR(J261/O261,0)</f>
        <v>0</v>
      </c>
      <c r="Q261" s="6" t="n">
        <f aca="false">IFERROR(N261/O261,0)</f>
        <v>0</v>
      </c>
      <c r="R261" s="6" t="n">
        <f aca="false">Parametros!$B$3*I261+Parametros!$B$4*P261</f>
        <v>0</v>
      </c>
      <c r="S261" s="6" t="n">
        <f aca="false">Parametros!$B$3*I261+Parametros!$B$4*Q261</f>
        <v>0</v>
      </c>
      <c r="T261" s="4" t="str">
        <f aca="false">IF(S261&lt;tablas!$C$3,"No activa",INDEX(tablas!$B$3:$B$8,MATCH(S261,tablas!$C$3:$C$8,1)))</f>
        <v>No activa</v>
      </c>
      <c r="U261" s="15" t="n">
        <f aca="false">IF(S261&lt;tablas!$C$3,0,INDEX(tablas!$D$3:$D$8,MATCH(S261,tablas!$C$3:$C$8,1)))</f>
        <v>0</v>
      </c>
      <c r="V261" s="16" t="n">
        <f aca="false">N(base!AQ261)</f>
        <v>0</v>
      </c>
      <c r="W261" s="7" t="n">
        <f aca="false">U261*V261</f>
        <v>0</v>
      </c>
      <c r="X261" s="4" t="str">
        <f aca="false">IF(R261&lt;tablas!$C$3,"No activa",INDEX(tablas!$B$3:$B$8,MATCH(R261,tablas!$C$3:$C$8,1)))</f>
        <v>No activa</v>
      </c>
      <c r="Y261" s="7" t="n">
        <f aca="false">IF(R261&lt;tablas!$C$3,0,INDEX(tablas!$D$3:$D$8,MATCH(R261,tablas!$C$3:$C$8,1)))*V261</f>
        <v>0</v>
      </c>
      <c r="Z261" s="4" t="str">
        <f aca="false">IF(S261&gt;=tablas!$C$3,"Activa",IF(S261&gt;=Parametros!$B$5,"Cerca","No activa"))</f>
        <v>No activa</v>
      </c>
      <c r="AA261" s="6" t="n">
        <f aca="false">MAX(0,tablas!$C$3-S261)</f>
        <v>0.8</v>
      </c>
    </row>
    <row r="262" customFormat="false" ht="15" hidden="false" customHeight="false" outlineLevel="0" collapsed="false">
      <c r="A262" s="14" t="str">
        <f aca="false">base!A262</f>
        <v>46681438-1</v>
      </c>
      <c r="B262" s="14" t="str">
        <f aca="false">base!E262</f>
        <v>Lima Sur</v>
      </c>
      <c r="C262" s="14" t="str">
        <f aca="false">base!D262</f>
        <v>Outbound</v>
      </c>
      <c r="D262" s="14" t="str">
        <f aca="false">base!F262</f>
        <v>MARITZA HUAMAN NAVARRO</v>
      </c>
      <c r="E262" s="14" t="str">
        <f aca="false">base!G262</f>
        <v>JOSUE MORA SOLSOL</v>
      </c>
      <c r="F262" s="14" t="n">
        <f aca="false">N(base!O262)</f>
        <v>0</v>
      </c>
      <c r="G262" s="4" t="n">
        <f aca="false">SUM(base!U262:AF262)+N(base!AK262)</f>
        <v>0</v>
      </c>
      <c r="H262" s="14" t="n">
        <f aca="false">N(base!S262)</f>
        <v>3</v>
      </c>
      <c r="I262" s="6" t="n">
        <f aca="false">IFERROR(G262/H262,0)</f>
        <v>0</v>
      </c>
      <c r="J262" s="4" t="n">
        <f aca="false">SUM(base!AG262:AJ262)</f>
        <v>0</v>
      </c>
      <c r="K262" s="5" t="n">
        <f aca="false">IFERROR((base!AG262+base!AH262)/(base!K262+base!L262),0)</f>
        <v>0</v>
      </c>
      <c r="L262" s="5" t="n">
        <f aca="false">MAX(N(base!AI262),K262*N(base!M262))</f>
        <v>0</v>
      </c>
      <c r="M262" s="5" t="n">
        <f aca="false">MAX(N(base!AJ262),K262*N(base!N262))</f>
        <v>0</v>
      </c>
      <c r="N262" s="5" t="n">
        <f aca="false">base!AG262+base!AH262+L262+M262</f>
        <v>0</v>
      </c>
      <c r="O262" s="14" t="n">
        <f aca="false">N(base!T262)</f>
        <v>2</v>
      </c>
      <c r="P262" s="6" t="n">
        <f aca="false">IFERROR(J262/O262,0)</f>
        <v>0</v>
      </c>
      <c r="Q262" s="6" t="n">
        <f aca="false">IFERROR(N262/O262,0)</f>
        <v>0</v>
      </c>
      <c r="R262" s="6" t="n">
        <f aca="false">Parametros!$B$3*I262+Parametros!$B$4*P262</f>
        <v>0</v>
      </c>
      <c r="S262" s="6" t="n">
        <f aca="false">Parametros!$B$3*I262+Parametros!$B$4*Q262</f>
        <v>0</v>
      </c>
      <c r="T262" s="4" t="str">
        <f aca="false">IF(S262&lt;tablas!$C$3,"No activa",INDEX(tablas!$B$3:$B$8,MATCH(S262,tablas!$C$3:$C$8,1)))</f>
        <v>No activa</v>
      </c>
      <c r="U262" s="15" t="n">
        <f aca="false">IF(S262&lt;tablas!$C$3,0,INDEX(tablas!$D$3:$D$8,MATCH(S262,tablas!$C$3:$C$8,1)))</f>
        <v>0</v>
      </c>
      <c r="V262" s="16" t="n">
        <f aca="false">N(base!AQ262)</f>
        <v>0</v>
      </c>
      <c r="W262" s="7" t="n">
        <f aca="false">U262*V262</f>
        <v>0</v>
      </c>
      <c r="X262" s="4" t="str">
        <f aca="false">IF(R262&lt;tablas!$C$3,"No activa",INDEX(tablas!$B$3:$B$8,MATCH(R262,tablas!$C$3:$C$8,1)))</f>
        <v>No activa</v>
      </c>
      <c r="Y262" s="7" t="n">
        <f aca="false">IF(R262&lt;tablas!$C$3,0,INDEX(tablas!$D$3:$D$8,MATCH(R262,tablas!$C$3:$C$8,1)))*V262</f>
        <v>0</v>
      </c>
      <c r="Z262" s="4" t="str">
        <f aca="false">IF(S262&gt;=tablas!$C$3,"Activa",IF(S262&gt;=Parametros!$B$5,"Cerca","No activa"))</f>
        <v>No activa</v>
      </c>
      <c r="AA262" s="6" t="n">
        <f aca="false">MAX(0,tablas!$C$3-S262)</f>
        <v>0.8</v>
      </c>
    </row>
    <row r="263" customFormat="false" ht="15" hidden="false" customHeight="false" outlineLevel="0" collapsed="false">
      <c r="A263" s="14" t="str">
        <f aca="false">base!A263</f>
        <v>07524372-9</v>
      </c>
      <c r="B263" s="14" t="str">
        <f aca="false">base!E263</f>
        <v>Lima Sur</v>
      </c>
      <c r="C263" s="14" t="str">
        <f aca="false">base!D263</f>
        <v>Outbound</v>
      </c>
      <c r="D263" s="14" t="str">
        <f aca="false">base!F263</f>
        <v>MARITZA HUAMAN NAVARRO</v>
      </c>
      <c r="E263" s="14" t="str">
        <f aca="false">base!G263</f>
        <v>JOSUE MORA SOLSOL</v>
      </c>
      <c r="F263" s="14" t="n">
        <f aca="false">N(base!O263)</f>
        <v>0</v>
      </c>
      <c r="G263" s="4" t="n">
        <f aca="false">SUM(base!U263:AF263)+N(base!AK263)</f>
        <v>3</v>
      </c>
      <c r="H263" s="14" t="n">
        <f aca="false">N(base!S263)</f>
        <v>3</v>
      </c>
      <c r="I263" s="6" t="n">
        <f aca="false">IFERROR(G263/H263,0)</f>
        <v>1</v>
      </c>
      <c r="J263" s="4" t="n">
        <f aca="false">SUM(base!AG263:AJ263)</f>
        <v>0</v>
      </c>
      <c r="K263" s="5" t="n">
        <f aca="false">IFERROR((base!AG263+base!AH263)/(base!K263+base!L263),0)</f>
        <v>0</v>
      </c>
      <c r="L263" s="5" t="n">
        <f aca="false">MAX(N(base!AI263),K263*N(base!M263))</f>
        <v>0</v>
      </c>
      <c r="M263" s="5" t="n">
        <f aca="false">MAX(N(base!AJ263),K263*N(base!N263))</f>
        <v>0</v>
      </c>
      <c r="N263" s="5" t="n">
        <f aca="false">base!AG263+base!AH263+L263+M263</f>
        <v>0</v>
      </c>
      <c r="O263" s="14" t="n">
        <f aca="false">N(base!T263)</f>
        <v>2</v>
      </c>
      <c r="P263" s="6" t="n">
        <f aca="false">IFERROR(J263/O263,0)</f>
        <v>0</v>
      </c>
      <c r="Q263" s="6" t="n">
        <f aca="false">IFERROR(N263/O263,0)</f>
        <v>0</v>
      </c>
      <c r="R263" s="6" t="n">
        <f aca="false">Parametros!$B$3*I263+Parametros!$B$4*P263</f>
        <v>0.7</v>
      </c>
      <c r="S263" s="6" t="n">
        <f aca="false">Parametros!$B$3*I263+Parametros!$B$4*Q263</f>
        <v>0.7</v>
      </c>
      <c r="T263" s="4" t="str">
        <f aca="false">IF(S263&lt;tablas!$C$3,"No activa",INDEX(tablas!$B$3:$B$8,MATCH(S263,tablas!$C$3:$C$8,1)))</f>
        <v>No activa</v>
      </c>
      <c r="U263" s="15" t="n">
        <f aca="false">IF(S263&lt;tablas!$C$3,0,INDEX(tablas!$D$3:$D$8,MATCH(S263,tablas!$C$3:$C$8,1)))</f>
        <v>0</v>
      </c>
      <c r="V263" s="16" t="n">
        <f aca="false">N(base!AQ263)</f>
        <v>0</v>
      </c>
      <c r="W263" s="7" t="n">
        <f aca="false">U263*V263</f>
        <v>0</v>
      </c>
      <c r="X263" s="4" t="str">
        <f aca="false">IF(R263&lt;tablas!$C$3,"No activa",INDEX(tablas!$B$3:$B$8,MATCH(R263,tablas!$C$3:$C$8,1)))</f>
        <v>No activa</v>
      </c>
      <c r="Y263" s="7" t="n">
        <f aca="false">IF(R263&lt;tablas!$C$3,0,INDEX(tablas!$D$3:$D$8,MATCH(R263,tablas!$C$3:$C$8,1)))*V263</f>
        <v>0</v>
      </c>
      <c r="Z263" s="4" t="str">
        <f aca="false">IF(S263&gt;=tablas!$C$3,"Activa",IF(S263&gt;=Parametros!$B$5,"Cerca","No activa"))</f>
        <v>Cerca</v>
      </c>
      <c r="AA263" s="6" t="n">
        <f aca="false">MAX(0,tablas!$C$3-S263)</f>
        <v>0.1</v>
      </c>
    </row>
    <row r="264" customFormat="false" ht="15" hidden="false" customHeight="false" outlineLevel="0" collapsed="false">
      <c r="A264" s="14" t="str">
        <f aca="false">base!A264</f>
        <v>48768139-9</v>
      </c>
      <c r="B264" s="14" t="str">
        <f aca="false">base!E264</f>
        <v>Lima Sur</v>
      </c>
      <c r="C264" s="14" t="str">
        <f aca="false">base!D264</f>
        <v>Outbound</v>
      </c>
      <c r="D264" s="14" t="str">
        <f aca="false">base!F264</f>
        <v>MARITZA HUAMAN NAVARRO</v>
      </c>
      <c r="E264" s="14" t="str">
        <f aca="false">base!G264</f>
        <v>JOSUE MORA SOLSOL</v>
      </c>
      <c r="F264" s="14" t="n">
        <f aca="false">N(base!O264)</f>
        <v>0</v>
      </c>
      <c r="G264" s="4" t="n">
        <f aca="false">SUM(base!U264:AF264)+N(base!AK264)</f>
        <v>0</v>
      </c>
      <c r="H264" s="14" t="n">
        <f aca="false">N(base!S264)</f>
        <v>3</v>
      </c>
      <c r="I264" s="6" t="n">
        <f aca="false">IFERROR(G264/H264,0)</f>
        <v>0</v>
      </c>
      <c r="J264" s="4" t="n">
        <f aca="false">SUM(base!AG264:AJ264)</f>
        <v>0</v>
      </c>
      <c r="K264" s="5" t="n">
        <f aca="false">IFERROR((base!AG264+base!AH264)/(base!K264+base!L264),0)</f>
        <v>0</v>
      </c>
      <c r="L264" s="5" t="n">
        <f aca="false">MAX(N(base!AI264),K264*N(base!M264))</f>
        <v>0</v>
      </c>
      <c r="M264" s="5" t="n">
        <f aca="false">MAX(N(base!AJ264),K264*N(base!N264))</f>
        <v>0</v>
      </c>
      <c r="N264" s="5" t="n">
        <f aca="false">base!AG264+base!AH264+L264+M264</f>
        <v>0</v>
      </c>
      <c r="O264" s="14" t="n">
        <f aca="false">N(base!T264)</f>
        <v>2</v>
      </c>
      <c r="P264" s="6" t="n">
        <f aca="false">IFERROR(J264/O264,0)</f>
        <v>0</v>
      </c>
      <c r="Q264" s="6" t="n">
        <f aca="false">IFERROR(N264/O264,0)</f>
        <v>0</v>
      </c>
      <c r="R264" s="6" t="n">
        <f aca="false">Parametros!$B$3*I264+Parametros!$B$4*P264</f>
        <v>0</v>
      </c>
      <c r="S264" s="6" t="n">
        <f aca="false">Parametros!$B$3*I264+Parametros!$B$4*Q264</f>
        <v>0</v>
      </c>
      <c r="T264" s="4" t="str">
        <f aca="false">IF(S264&lt;tablas!$C$3,"No activa",INDEX(tablas!$B$3:$B$8,MATCH(S264,tablas!$C$3:$C$8,1)))</f>
        <v>No activa</v>
      </c>
      <c r="U264" s="15" t="n">
        <f aca="false">IF(S264&lt;tablas!$C$3,0,INDEX(tablas!$D$3:$D$8,MATCH(S264,tablas!$C$3:$C$8,1)))</f>
        <v>0</v>
      </c>
      <c r="V264" s="16" t="n">
        <f aca="false">N(base!AQ264)</f>
        <v>0</v>
      </c>
      <c r="W264" s="7" t="n">
        <f aca="false">U264*V264</f>
        <v>0</v>
      </c>
      <c r="X264" s="4" t="str">
        <f aca="false">IF(R264&lt;tablas!$C$3,"No activa",INDEX(tablas!$B$3:$B$8,MATCH(R264,tablas!$C$3:$C$8,1)))</f>
        <v>No activa</v>
      </c>
      <c r="Y264" s="7" t="n">
        <f aca="false">IF(R264&lt;tablas!$C$3,0,INDEX(tablas!$D$3:$D$8,MATCH(R264,tablas!$C$3:$C$8,1)))*V264</f>
        <v>0</v>
      </c>
      <c r="Z264" s="4" t="str">
        <f aca="false">IF(S264&gt;=tablas!$C$3,"Activa",IF(S264&gt;=Parametros!$B$5,"Cerca","No activa"))</f>
        <v>No activa</v>
      </c>
      <c r="AA264" s="6" t="n">
        <f aca="false">MAX(0,tablas!$C$3-S264)</f>
        <v>0.8</v>
      </c>
    </row>
  </sheetData>
  <autoFilter ref="A1:AA264"/>
  <conditionalFormatting sqref="Z2:Z264">
    <cfRule type="cellIs" priority="2" operator="equal" aboveAverage="0" equalAverage="0" bottom="0" percent="0" rank="0" text="" dxfId="7">
      <formula>"Activa"</formula>
    </cfRule>
    <cfRule type="cellIs" priority="3" operator="equal" aboveAverage="0" equalAverage="0" bottom="0" percent="0" rank="0" text="" dxfId="8">
      <formula>"Cerca"</formula>
    </cfRule>
    <cfRule type="cellIs" priority="4" operator="equal" aboveAverage="0" equalAverage="0" bottom="0" percent="0" rank="0" text="" dxfId="9">
      <formula>"No activa"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70"/>
  </cols>
  <sheetData>
    <row r="1" customFormat="false" ht="16.15" hidden="false" customHeight="false" outlineLevel="0" collapsed="false">
      <c r="A1" s="1" t="s">
        <v>50</v>
      </c>
    </row>
    <row r="3" customFormat="false" ht="15" hidden="false" customHeight="false" outlineLevel="0" collapsed="false">
      <c r="A3" s="17" t="s">
        <v>51</v>
      </c>
      <c r="B3" s="18" t="n">
        <v>0.7</v>
      </c>
      <c r="C3" s="2" t="s">
        <v>52</v>
      </c>
    </row>
    <row r="4" customFormat="false" ht="15" hidden="false" customHeight="false" outlineLevel="0" collapsed="false">
      <c r="A4" s="17" t="s">
        <v>53</v>
      </c>
      <c r="B4" s="18" t="n">
        <v>0.3</v>
      </c>
      <c r="C4" s="2" t="s">
        <v>54</v>
      </c>
    </row>
    <row r="5" customFormat="false" ht="15" hidden="false" customHeight="false" outlineLevel="0" collapsed="false">
      <c r="A5" s="17" t="s">
        <v>55</v>
      </c>
      <c r="B5" s="18" t="n">
        <v>0.7</v>
      </c>
      <c r="C5" s="2" t="s">
        <v>56</v>
      </c>
    </row>
    <row r="8" customFormat="false" ht="15" hidden="false" customHeight="false" outlineLevel="0" collapsed="false">
      <c r="A8" s="13" t="s">
        <v>57</v>
      </c>
    </row>
    <row r="9" customFormat="false" ht="15" hidden="false" customHeight="false" outlineLevel="0" collapsed="false">
      <c r="A9" s="17" t="s">
        <v>58</v>
      </c>
    </row>
    <row r="10" customFormat="false" ht="15" hidden="false" customHeight="false" outlineLevel="0" collapsed="false">
      <c r="A10" s="17" t="s">
        <v>59</v>
      </c>
    </row>
    <row r="11" customFormat="false" ht="15" hidden="false" customHeight="false" outlineLevel="0" collapsed="false">
      <c r="A11" s="17" t="s">
        <v>60</v>
      </c>
    </row>
    <row r="12" customFormat="false" ht="15" hidden="false" customHeight="false" outlineLevel="0" collapsed="false">
      <c r="A12" s="17" t="s">
        <v>61</v>
      </c>
    </row>
    <row r="13" customFormat="false" ht="15" hidden="false" customHeight="false" outlineLevel="0" collapsed="false">
      <c r="A13" s="17" t="s">
        <v>62</v>
      </c>
    </row>
    <row r="14" customFormat="false" ht="15" hidden="false" customHeight="false" outlineLevel="0" collapsed="false">
      <c r="A14" s="17" t="s">
        <v>63</v>
      </c>
    </row>
    <row r="15" customFormat="false" ht="15" hidden="false" customHeight="false" outlineLevel="0" collapsed="false">
      <c r="A15" s="17" t="s">
        <v>64</v>
      </c>
    </row>
    <row r="16" customFormat="false" ht="15" hidden="false" customHeight="false" outlineLevel="0" collapsed="false">
      <c r="A16" s="1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266"/>
  <sheetViews>
    <sheetView showFormulas="false" showGridLines="true" showRowColHeaders="true" showZeros="true" rightToLeft="false" tabSelected="true" showOutlineSymbols="true" defaultGridColor="true" view="normal" topLeftCell="AB1" colorId="64" zoomScale="100" zoomScaleNormal="100" zoomScalePageLayoutView="100" workbookViewId="0">
      <selection pane="topLeft" activeCell="AG12" activeCellId="0" sqref="AG12"/>
    </sheetView>
  </sheetViews>
  <sheetFormatPr defaultColWidth="10.5390625" defaultRowHeight="14.25" zeroHeight="false" outlineLevelRow="0" outlineLevelCol="0"/>
  <sheetData>
    <row r="1" customFormat="false" ht="25.5" hidden="false" customHeight="true" outlineLevel="0" collapsed="false">
      <c r="A1" s="19" t="s">
        <v>35</v>
      </c>
      <c r="B1" s="20" t="s">
        <v>66</v>
      </c>
      <c r="C1" s="20" t="s">
        <v>67</v>
      </c>
      <c r="D1" s="21" t="s">
        <v>68</v>
      </c>
      <c r="E1" s="21" t="s">
        <v>69</v>
      </c>
      <c r="F1" s="22" t="s">
        <v>70</v>
      </c>
      <c r="G1" s="19" t="s">
        <v>71</v>
      </c>
      <c r="H1" s="21" t="s">
        <v>72</v>
      </c>
      <c r="I1" s="21" t="s">
        <v>73</v>
      </c>
      <c r="J1" s="23" t="s">
        <v>74</v>
      </c>
      <c r="K1" s="24" t="s">
        <v>75</v>
      </c>
      <c r="L1" s="24" t="s">
        <v>76</v>
      </c>
      <c r="M1" s="24" t="s">
        <v>77</v>
      </c>
      <c r="N1" s="24" t="s">
        <v>78</v>
      </c>
      <c r="O1" s="25" t="s">
        <v>39</v>
      </c>
      <c r="P1" s="25" t="s">
        <v>79</v>
      </c>
      <c r="Q1" s="26" t="s">
        <v>80</v>
      </c>
      <c r="R1" s="26" t="s">
        <v>81</v>
      </c>
      <c r="S1" s="26" t="s">
        <v>82</v>
      </c>
      <c r="T1" s="26" t="s">
        <v>83</v>
      </c>
      <c r="U1" s="27" t="s">
        <v>84</v>
      </c>
      <c r="V1" s="27" t="s">
        <v>85</v>
      </c>
      <c r="W1" s="27" t="s">
        <v>86</v>
      </c>
      <c r="X1" s="27" t="s">
        <v>87</v>
      </c>
      <c r="Y1" s="28" t="s">
        <v>88</v>
      </c>
      <c r="Z1" s="28" t="s">
        <v>89</v>
      </c>
      <c r="AA1" s="28" t="s">
        <v>90</v>
      </c>
      <c r="AB1" s="28" t="s">
        <v>91</v>
      </c>
      <c r="AC1" s="29" t="s">
        <v>92</v>
      </c>
      <c r="AD1" s="29" t="s">
        <v>93</v>
      </c>
      <c r="AE1" s="29" t="s">
        <v>94</v>
      </c>
      <c r="AF1" s="29" t="s">
        <v>95</v>
      </c>
      <c r="AG1" s="30" t="s">
        <v>96</v>
      </c>
      <c r="AH1" s="30" t="s">
        <v>97</v>
      </c>
      <c r="AI1" s="30" t="s">
        <v>98</v>
      </c>
      <c r="AJ1" s="30" t="s">
        <v>99</v>
      </c>
      <c r="AK1" s="24" t="s">
        <v>100</v>
      </c>
      <c r="AL1" s="24" t="s">
        <v>101</v>
      </c>
      <c r="AM1" s="31" t="s">
        <v>102</v>
      </c>
      <c r="AN1" s="31" t="s">
        <v>103</v>
      </c>
      <c r="AO1" s="32" t="s">
        <v>104</v>
      </c>
      <c r="AP1" s="31" t="s">
        <v>105</v>
      </c>
      <c r="AQ1" s="31" t="s">
        <v>106</v>
      </c>
    </row>
    <row r="2" customFormat="false" ht="14.25" hidden="false" customHeight="false" outlineLevel="0" collapsed="false">
      <c r="A2" s="33" t="s">
        <v>107</v>
      </c>
      <c r="B2" s="33" t="n">
        <v>45139</v>
      </c>
      <c r="C2" s="34" t="s">
        <v>108</v>
      </c>
      <c r="D2" s="35" t="s">
        <v>29</v>
      </c>
      <c r="E2" s="35" t="s">
        <v>29</v>
      </c>
      <c r="F2" s="36" t="s">
        <v>109</v>
      </c>
      <c r="G2" s="37" t="s">
        <v>110</v>
      </c>
      <c r="H2" s="35" t="s">
        <v>111</v>
      </c>
      <c r="I2" s="35" t="s">
        <v>112</v>
      </c>
      <c r="J2" s="38" t="n">
        <v>22</v>
      </c>
      <c r="K2" s="39" t="n">
        <v>1</v>
      </c>
      <c r="L2" s="39" t="n">
        <v>1</v>
      </c>
      <c r="M2" s="39" t="n">
        <v>1</v>
      </c>
      <c r="N2" s="39" t="n">
        <v>1</v>
      </c>
      <c r="O2" s="40" t="n">
        <v>1</v>
      </c>
      <c r="P2" s="41" t="n">
        <v>1</v>
      </c>
      <c r="Q2" s="42" t="n">
        <v>16</v>
      </c>
      <c r="R2" s="42" t="n">
        <v>5</v>
      </c>
      <c r="S2" s="42" t="n">
        <v>21</v>
      </c>
      <c r="T2" s="42" t="n">
        <v>9</v>
      </c>
      <c r="U2" s="43" t="n">
        <v>1</v>
      </c>
      <c r="V2" s="43" t="n">
        <v>1</v>
      </c>
      <c r="W2" s="44" t="n">
        <v>1</v>
      </c>
      <c r="X2" s="44" t="n">
        <v>1</v>
      </c>
      <c r="Y2" s="43" t="n">
        <v>0</v>
      </c>
      <c r="Z2" s="43" t="n">
        <v>0</v>
      </c>
      <c r="AA2" s="44" t="n">
        <v>0</v>
      </c>
      <c r="AB2" s="44" t="n">
        <v>0</v>
      </c>
      <c r="AC2" s="43" t="n">
        <v>1</v>
      </c>
      <c r="AD2" s="43" t="n">
        <v>0</v>
      </c>
      <c r="AE2" s="44" t="n">
        <v>1</v>
      </c>
      <c r="AF2" s="44" t="n">
        <v>1</v>
      </c>
      <c r="AG2" s="43" t="n">
        <v>0</v>
      </c>
      <c r="AH2" s="43" t="n">
        <v>0</v>
      </c>
      <c r="AI2" s="43" t="n">
        <v>0</v>
      </c>
      <c r="AJ2" s="44"/>
      <c r="AK2" s="43" t="n">
        <v>0</v>
      </c>
      <c r="AL2" s="43" t="n">
        <v>7</v>
      </c>
      <c r="AM2" s="45" t="n">
        <v>0.7</v>
      </c>
      <c r="AN2" s="45" t="n">
        <v>0.3</v>
      </c>
      <c r="AO2" s="45" t="n">
        <v>1</v>
      </c>
      <c r="AP2" s="46" t="n">
        <v>1200</v>
      </c>
      <c r="AQ2" s="46" t="n">
        <v>1200</v>
      </c>
    </row>
    <row r="3" customFormat="false" ht="14.25" hidden="false" customHeight="false" outlineLevel="0" collapsed="false">
      <c r="A3" s="33" t="s">
        <v>113</v>
      </c>
      <c r="B3" s="33" t="n">
        <v>44389</v>
      </c>
      <c r="C3" s="34" t="s">
        <v>108</v>
      </c>
      <c r="D3" s="35" t="s">
        <v>29</v>
      </c>
      <c r="E3" s="35" t="s">
        <v>29</v>
      </c>
      <c r="F3" s="36" t="s">
        <v>109</v>
      </c>
      <c r="G3" s="37" t="s">
        <v>110</v>
      </c>
      <c r="H3" s="35" t="s">
        <v>111</v>
      </c>
      <c r="I3" s="35" t="s">
        <v>112</v>
      </c>
      <c r="J3" s="38" t="n">
        <v>22</v>
      </c>
      <c r="K3" s="39" t="n">
        <v>1</v>
      </c>
      <c r="L3" s="39" t="n">
        <v>1</v>
      </c>
      <c r="M3" s="39" t="n">
        <v>1</v>
      </c>
      <c r="N3" s="39" t="n">
        <v>1</v>
      </c>
      <c r="O3" s="40" t="n">
        <v>1</v>
      </c>
      <c r="P3" s="41" t="n">
        <v>1</v>
      </c>
      <c r="Q3" s="42" t="n">
        <v>16</v>
      </c>
      <c r="R3" s="42" t="n">
        <v>5</v>
      </c>
      <c r="S3" s="42" t="n">
        <v>21</v>
      </c>
      <c r="T3" s="42" t="n">
        <v>9</v>
      </c>
      <c r="U3" s="43" t="n">
        <v>2</v>
      </c>
      <c r="V3" s="43" t="n">
        <v>2</v>
      </c>
      <c r="W3" s="44" t="n">
        <v>2</v>
      </c>
      <c r="X3" s="44" t="n">
        <v>3</v>
      </c>
      <c r="Y3" s="43" t="n">
        <v>0</v>
      </c>
      <c r="Z3" s="43" t="n">
        <v>0</v>
      </c>
      <c r="AA3" s="44" t="n">
        <v>0</v>
      </c>
      <c r="AB3" s="44" t="n">
        <v>0</v>
      </c>
      <c r="AC3" s="43" t="n">
        <v>0</v>
      </c>
      <c r="AD3" s="43" t="n">
        <v>0</v>
      </c>
      <c r="AE3" s="44" t="n">
        <v>0</v>
      </c>
      <c r="AF3" s="44" t="n">
        <v>0</v>
      </c>
      <c r="AG3" s="43" t="n">
        <v>0</v>
      </c>
      <c r="AH3" s="43" t="n">
        <v>0</v>
      </c>
      <c r="AI3" s="43" t="n">
        <v>0</v>
      </c>
      <c r="AJ3" s="44"/>
      <c r="AK3" s="43" t="n">
        <v>0</v>
      </c>
      <c r="AL3" s="43" t="n">
        <v>9</v>
      </c>
      <c r="AM3" s="45" t="n">
        <v>0.7</v>
      </c>
      <c r="AN3" s="45" t="n">
        <v>0.3</v>
      </c>
      <c r="AO3" s="45" t="n">
        <v>1</v>
      </c>
      <c r="AP3" s="46" t="n">
        <v>1200</v>
      </c>
      <c r="AQ3" s="46" t="n">
        <v>1200</v>
      </c>
    </row>
    <row r="4" customFormat="false" ht="14.25" hidden="false" customHeight="false" outlineLevel="0" collapsed="false">
      <c r="A4" s="33" t="s">
        <v>114</v>
      </c>
      <c r="B4" s="33" t="n">
        <v>43724</v>
      </c>
      <c r="C4" s="34" t="s">
        <v>108</v>
      </c>
      <c r="D4" s="35" t="s">
        <v>29</v>
      </c>
      <c r="E4" s="35" t="s">
        <v>29</v>
      </c>
      <c r="F4" s="36" t="s">
        <v>109</v>
      </c>
      <c r="G4" s="37" t="s">
        <v>110</v>
      </c>
      <c r="H4" s="35" t="s">
        <v>115</v>
      </c>
      <c r="I4" s="35" t="s">
        <v>112</v>
      </c>
      <c r="J4" s="38" t="n">
        <v>11</v>
      </c>
      <c r="K4" s="39" t="n">
        <v>0</v>
      </c>
      <c r="L4" s="39" t="n">
        <v>0</v>
      </c>
      <c r="M4" s="39" t="n">
        <v>1</v>
      </c>
      <c r="N4" s="39" t="n">
        <v>1</v>
      </c>
      <c r="O4" s="40" t="n">
        <v>0.5</v>
      </c>
      <c r="P4" s="41" t="n">
        <v>0.5</v>
      </c>
      <c r="Q4" s="42" t="n">
        <v>6</v>
      </c>
      <c r="R4" s="42" t="n">
        <v>2</v>
      </c>
      <c r="S4" s="42" t="n">
        <v>8</v>
      </c>
      <c r="T4" s="42" t="n">
        <v>4</v>
      </c>
      <c r="U4" s="43" t="n">
        <v>0</v>
      </c>
      <c r="V4" s="43" t="n">
        <v>0</v>
      </c>
      <c r="W4" s="44" t="n">
        <v>0</v>
      </c>
      <c r="X4" s="44" t="n">
        <v>0</v>
      </c>
      <c r="Y4" s="43" t="n">
        <v>0</v>
      </c>
      <c r="Z4" s="43" t="n">
        <v>0</v>
      </c>
      <c r="AA4" s="44" t="n">
        <v>0</v>
      </c>
      <c r="AB4" s="44" t="n">
        <v>0</v>
      </c>
      <c r="AC4" s="43" t="n">
        <v>0</v>
      </c>
      <c r="AD4" s="43" t="n">
        <v>0</v>
      </c>
      <c r="AE4" s="44" t="n">
        <v>0</v>
      </c>
      <c r="AF4" s="44" t="n">
        <v>0</v>
      </c>
      <c r="AG4" s="43" t="n">
        <v>0</v>
      </c>
      <c r="AH4" s="43" t="n">
        <v>0</v>
      </c>
      <c r="AI4" s="43" t="n">
        <v>0</v>
      </c>
      <c r="AJ4" s="44"/>
      <c r="AK4" s="43" t="n">
        <v>0</v>
      </c>
      <c r="AL4" s="43" t="n">
        <v>0</v>
      </c>
      <c r="AM4" s="45" t="n">
        <v>0.7</v>
      </c>
      <c r="AN4" s="45" t="n">
        <v>0.3</v>
      </c>
      <c r="AO4" s="45" t="n">
        <v>0.5</v>
      </c>
      <c r="AP4" s="46" t="n">
        <v>1200</v>
      </c>
      <c r="AQ4" s="46" t="n">
        <v>600</v>
      </c>
    </row>
    <row r="5" customFormat="false" ht="14.25" hidden="false" customHeight="false" outlineLevel="0" collapsed="false">
      <c r="A5" s="33" t="s">
        <v>116</v>
      </c>
      <c r="B5" s="33" t="n">
        <v>45992</v>
      </c>
      <c r="C5" s="34" t="s">
        <v>117</v>
      </c>
      <c r="D5" s="35" t="s">
        <v>29</v>
      </c>
      <c r="E5" s="35" t="s">
        <v>29</v>
      </c>
      <c r="F5" s="36" t="s">
        <v>109</v>
      </c>
      <c r="G5" s="37" t="s">
        <v>110</v>
      </c>
      <c r="H5" s="35" t="s">
        <v>111</v>
      </c>
      <c r="I5" s="35" t="s">
        <v>112</v>
      </c>
      <c r="J5" s="38" t="n">
        <v>12</v>
      </c>
      <c r="K5" s="39" t="n">
        <v>1</v>
      </c>
      <c r="L5" s="39" t="n">
        <v>1</v>
      </c>
      <c r="M5" s="39" t="n">
        <v>0.181818181818182</v>
      </c>
      <c r="N5" s="39" t="n">
        <v>0</v>
      </c>
      <c r="O5" s="40" t="n">
        <v>0.545454545454545</v>
      </c>
      <c r="P5" s="41" t="n">
        <v>0.545454545454545</v>
      </c>
      <c r="Q5" s="42" t="n">
        <v>9</v>
      </c>
      <c r="R5" s="42" t="n">
        <v>2</v>
      </c>
      <c r="S5" s="42" t="n">
        <v>11</v>
      </c>
      <c r="T5" s="42" t="n">
        <v>5</v>
      </c>
      <c r="U5" s="43" t="n">
        <v>1</v>
      </c>
      <c r="V5" s="43" t="n">
        <v>1</v>
      </c>
      <c r="W5" s="44" t="n">
        <v>0</v>
      </c>
      <c r="X5" s="44" t="n">
        <v>0</v>
      </c>
      <c r="Y5" s="43" t="n">
        <v>0</v>
      </c>
      <c r="Z5" s="43" t="n">
        <v>0</v>
      </c>
      <c r="AA5" s="44" t="n">
        <v>0</v>
      </c>
      <c r="AB5" s="44" t="n">
        <v>0</v>
      </c>
      <c r="AC5" s="43" t="n">
        <v>0</v>
      </c>
      <c r="AD5" s="43" t="n">
        <v>0</v>
      </c>
      <c r="AE5" s="44" t="n">
        <v>0</v>
      </c>
      <c r="AF5" s="44" t="n">
        <v>0</v>
      </c>
      <c r="AG5" s="43" t="n">
        <v>2</v>
      </c>
      <c r="AH5" s="43" t="n">
        <v>1</v>
      </c>
      <c r="AI5" s="43" t="n">
        <v>0</v>
      </c>
      <c r="AJ5" s="44"/>
      <c r="AK5" s="43" t="n">
        <v>0</v>
      </c>
      <c r="AL5" s="43" t="n">
        <v>5</v>
      </c>
      <c r="AM5" s="45" t="n">
        <v>0.7</v>
      </c>
      <c r="AN5" s="45" t="n">
        <v>0.3</v>
      </c>
      <c r="AO5" s="45" t="n">
        <v>0.545454545454545</v>
      </c>
      <c r="AP5" s="46" t="n">
        <v>1200</v>
      </c>
      <c r="AQ5" s="46" t="n">
        <v>655</v>
      </c>
    </row>
    <row r="6" customFormat="false" ht="14.25" hidden="false" customHeight="false" outlineLevel="0" collapsed="false">
      <c r="A6" s="33" t="s">
        <v>118</v>
      </c>
      <c r="B6" s="33" t="n">
        <v>44361</v>
      </c>
      <c r="C6" s="34" t="s">
        <v>108</v>
      </c>
      <c r="D6" s="35" t="s">
        <v>29</v>
      </c>
      <c r="E6" s="35" t="s">
        <v>29</v>
      </c>
      <c r="F6" s="36" t="s">
        <v>109</v>
      </c>
      <c r="G6" s="37" t="s">
        <v>110</v>
      </c>
      <c r="H6" s="35" t="s">
        <v>111</v>
      </c>
      <c r="I6" s="35" t="s">
        <v>112</v>
      </c>
      <c r="J6" s="38" t="n">
        <v>22</v>
      </c>
      <c r="K6" s="39" t="n">
        <v>1</v>
      </c>
      <c r="L6" s="39" t="n">
        <v>1</v>
      </c>
      <c r="M6" s="39" t="n">
        <v>1</v>
      </c>
      <c r="N6" s="39" t="n">
        <v>1</v>
      </c>
      <c r="O6" s="40" t="n">
        <v>1</v>
      </c>
      <c r="P6" s="41" t="n">
        <v>1</v>
      </c>
      <c r="Q6" s="42" t="n">
        <v>16</v>
      </c>
      <c r="R6" s="42" t="n">
        <v>5</v>
      </c>
      <c r="S6" s="42" t="n">
        <v>21</v>
      </c>
      <c r="T6" s="42" t="n">
        <v>8</v>
      </c>
      <c r="U6" s="43" t="n">
        <v>2</v>
      </c>
      <c r="V6" s="43" t="n">
        <v>2</v>
      </c>
      <c r="W6" s="44" t="n">
        <v>2</v>
      </c>
      <c r="X6" s="44" t="n">
        <v>3</v>
      </c>
      <c r="Y6" s="43" t="n">
        <v>0</v>
      </c>
      <c r="Z6" s="43" t="n">
        <v>1</v>
      </c>
      <c r="AA6" s="44" t="n">
        <v>1</v>
      </c>
      <c r="AB6" s="44" t="n">
        <v>1</v>
      </c>
      <c r="AC6" s="43" t="n">
        <v>0</v>
      </c>
      <c r="AD6" s="43" t="n">
        <v>0</v>
      </c>
      <c r="AE6" s="44" t="n">
        <v>0</v>
      </c>
      <c r="AF6" s="44" t="n">
        <v>0</v>
      </c>
      <c r="AG6" s="43" t="n">
        <v>1</v>
      </c>
      <c r="AH6" s="43" t="n">
        <v>1</v>
      </c>
      <c r="AI6" s="43" t="n">
        <v>0</v>
      </c>
      <c r="AJ6" s="44"/>
      <c r="AK6" s="43" t="n">
        <v>0</v>
      </c>
      <c r="AL6" s="43" t="n">
        <v>14</v>
      </c>
      <c r="AM6" s="45" t="n">
        <v>0.7</v>
      </c>
      <c r="AN6" s="45" t="n">
        <v>0.3</v>
      </c>
      <c r="AO6" s="45" t="n">
        <v>1</v>
      </c>
      <c r="AP6" s="46" t="n">
        <v>1200</v>
      </c>
      <c r="AQ6" s="46" t="n">
        <v>1200</v>
      </c>
    </row>
    <row r="7" customFormat="false" ht="14.25" hidden="false" customHeight="false" outlineLevel="0" collapsed="false">
      <c r="A7" s="33" t="s">
        <v>119</v>
      </c>
      <c r="B7" s="33" t="n">
        <v>45026</v>
      </c>
      <c r="C7" s="34" t="s">
        <v>108</v>
      </c>
      <c r="D7" s="35" t="s">
        <v>29</v>
      </c>
      <c r="E7" s="35" t="s">
        <v>29</v>
      </c>
      <c r="F7" s="36" t="s">
        <v>109</v>
      </c>
      <c r="G7" s="37" t="s">
        <v>110</v>
      </c>
      <c r="H7" s="35" t="s">
        <v>115</v>
      </c>
      <c r="I7" s="35" t="s">
        <v>112</v>
      </c>
      <c r="J7" s="38" t="n">
        <v>22</v>
      </c>
      <c r="K7" s="39" t="n">
        <v>1</v>
      </c>
      <c r="L7" s="39" t="n">
        <v>1</v>
      </c>
      <c r="M7" s="39" t="n">
        <v>1</v>
      </c>
      <c r="N7" s="39" t="n">
        <v>1</v>
      </c>
      <c r="O7" s="40" t="n">
        <v>1</v>
      </c>
      <c r="P7" s="41" t="n">
        <v>1</v>
      </c>
      <c r="Q7" s="42" t="n">
        <v>12</v>
      </c>
      <c r="R7" s="42" t="n">
        <v>3</v>
      </c>
      <c r="S7" s="42" t="n">
        <v>15</v>
      </c>
      <c r="T7" s="42" t="n">
        <v>6</v>
      </c>
      <c r="U7" s="43" t="n">
        <v>0</v>
      </c>
      <c r="V7" s="43" t="n">
        <v>0</v>
      </c>
      <c r="W7" s="44" t="n">
        <v>0</v>
      </c>
      <c r="X7" s="44" t="n">
        <v>0</v>
      </c>
      <c r="Y7" s="43" t="n">
        <v>0</v>
      </c>
      <c r="Z7" s="43" t="n">
        <v>0</v>
      </c>
      <c r="AA7" s="44" t="n">
        <v>0</v>
      </c>
      <c r="AB7" s="44" t="n">
        <v>0</v>
      </c>
      <c r="AC7" s="43" t="n">
        <v>0</v>
      </c>
      <c r="AD7" s="43" t="n">
        <v>0</v>
      </c>
      <c r="AE7" s="44" t="n">
        <v>0</v>
      </c>
      <c r="AF7" s="44" t="n">
        <v>0</v>
      </c>
      <c r="AG7" s="43" t="n">
        <v>0</v>
      </c>
      <c r="AH7" s="43" t="n">
        <v>1</v>
      </c>
      <c r="AI7" s="43" t="n">
        <v>0</v>
      </c>
      <c r="AJ7" s="44"/>
      <c r="AK7" s="43" t="n">
        <v>0</v>
      </c>
      <c r="AL7" s="43" t="n">
        <v>1</v>
      </c>
      <c r="AM7" s="45" t="n">
        <v>0.7</v>
      </c>
      <c r="AN7" s="45" t="n">
        <v>0.3</v>
      </c>
      <c r="AO7" s="45" t="n">
        <v>1</v>
      </c>
      <c r="AP7" s="46" t="n">
        <v>1200</v>
      </c>
      <c r="AQ7" s="46" t="n">
        <v>1200</v>
      </c>
    </row>
    <row r="8" customFormat="false" ht="14.25" hidden="false" customHeight="false" outlineLevel="0" collapsed="false">
      <c r="A8" s="33" t="s">
        <v>120</v>
      </c>
      <c r="B8" s="33" t="n">
        <v>45383</v>
      </c>
      <c r="C8" s="34" t="s">
        <v>108</v>
      </c>
      <c r="D8" s="35" t="s">
        <v>29</v>
      </c>
      <c r="E8" s="35" t="s">
        <v>29</v>
      </c>
      <c r="F8" s="36" t="s">
        <v>109</v>
      </c>
      <c r="G8" s="37" t="s">
        <v>110</v>
      </c>
      <c r="H8" s="35" t="s">
        <v>111</v>
      </c>
      <c r="I8" s="35" t="s">
        <v>112</v>
      </c>
      <c r="J8" s="38" t="n">
        <v>10</v>
      </c>
      <c r="K8" s="39" t="n">
        <v>0</v>
      </c>
      <c r="L8" s="39" t="n">
        <v>0</v>
      </c>
      <c r="M8" s="39" t="n">
        <v>0.818181818181818</v>
      </c>
      <c r="N8" s="39" t="n">
        <v>1</v>
      </c>
      <c r="O8" s="40" t="n">
        <v>0.454545454545455</v>
      </c>
      <c r="P8" s="41" t="n">
        <v>0.454545454545455</v>
      </c>
      <c r="Q8" s="42" t="n">
        <v>8</v>
      </c>
      <c r="R8" s="42" t="n">
        <v>2</v>
      </c>
      <c r="S8" s="42" t="n">
        <v>10</v>
      </c>
      <c r="T8" s="42" t="n">
        <v>3</v>
      </c>
      <c r="U8" s="43" t="n">
        <v>0</v>
      </c>
      <c r="V8" s="43" t="n">
        <v>0</v>
      </c>
      <c r="W8" s="44" t="n">
        <v>0</v>
      </c>
      <c r="X8" s="44" t="n">
        <v>0</v>
      </c>
      <c r="Y8" s="43" t="n">
        <v>0</v>
      </c>
      <c r="Z8" s="43" t="n">
        <v>0</v>
      </c>
      <c r="AA8" s="44" t="n">
        <v>0</v>
      </c>
      <c r="AB8" s="44" t="n">
        <v>0</v>
      </c>
      <c r="AC8" s="43" t="n">
        <v>0</v>
      </c>
      <c r="AD8" s="43" t="n">
        <v>0</v>
      </c>
      <c r="AE8" s="44" t="n">
        <v>0</v>
      </c>
      <c r="AF8" s="44" t="n">
        <v>0</v>
      </c>
      <c r="AG8" s="43" t="n">
        <v>0</v>
      </c>
      <c r="AH8" s="43" t="n">
        <v>0</v>
      </c>
      <c r="AI8" s="43" t="n">
        <v>0</v>
      </c>
      <c r="AJ8" s="44"/>
      <c r="AK8" s="43" t="n">
        <v>0</v>
      </c>
      <c r="AL8" s="43" t="n">
        <v>0</v>
      </c>
      <c r="AM8" s="45" t="n">
        <v>0.7</v>
      </c>
      <c r="AN8" s="45" t="n">
        <v>0.3</v>
      </c>
      <c r="AO8" s="45" t="n">
        <v>0.454545454545455</v>
      </c>
      <c r="AP8" s="46" t="n">
        <v>1200</v>
      </c>
      <c r="AQ8" s="46" t="n">
        <v>545</v>
      </c>
    </row>
    <row r="9" customFormat="false" ht="14.25" hidden="false" customHeight="false" outlineLevel="0" collapsed="false">
      <c r="A9" s="33" t="s">
        <v>121</v>
      </c>
      <c r="B9" s="33" t="n">
        <v>44214</v>
      </c>
      <c r="C9" s="34" t="s">
        <v>108</v>
      </c>
      <c r="D9" s="35" t="s">
        <v>29</v>
      </c>
      <c r="E9" s="35" t="s">
        <v>29</v>
      </c>
      <c r="F9" s="36" t="s">
        <v>109</v>
      </c>
      <c r="G9" s="37" t="s">
        <v>110</v>
      </c>
      <c r="H9" s="35" t="s">
        <v>115</v>
      </c>
      <c r="I9" s="35" t="s">
        <v>112</v>
      </c>
      <c r="J9" s="38" t="n">
        <v>11</v>
      </c>
      <c r="K9" s="39" t="n">
        <v>1</v>
      </c>
      <c r="L9" s="39" t="n">
        <v>1</v>
      </c>
      <c r="M9" s="39" t="n">
        <v>0</v>
      </c>
      <c r="N9" s="39" t="n">
        <v>0</v>
      </c>
      <c r="O9" s="40" t="n">
        <v>0.5</v>
      </c>
      <c r="P9" s="41" t="n">
        <v>0.5</v>
      </c>
      <c r="Q9" s="42" t="n">
        <v>6</v>
      </c>
      <c r="R9" s="42" t="n">
        <v>2</v>
      </c>
      <c r="S9" s="42" t="n">
        <v>8</v>
      </c>
      <c r="T9" s="42" t="n">
        <v>3</v>
      </c>
      <c r="U9" s="43" t="n">
        <v>2</v>
      </c>
      <c r="V9" s="43" t="n">
        <v>2</v>
      </c>
      <c r="W9" s="44" t="n">
        <v>0</v>
      </c>
      <c r="X9" s="44" t="n">
        <v>0</v>
      </c>
      <c r="Y9" s="43" t="n">
        <v>0</v>
      </c>
      <c r="Z9" s="43" t="n">
        <v>0</v>
      </c>
      <c r="AA9" s="44" t="n">
        <v>0</v>
      </c>
      <c r="AB9" s="44" t="n">
        <v>0</v>
      </c>
      <c r="AC9" s="43" t="n">
        <v>0</v>
      </c>
      <c r="AD9" s="43" t="n">
        <v>0</v>
      </c>
      <c r="AE9" s="44" t="n">
        <v>0</v>
      </c>
      <c r="AF9" s="44" t="n">
        <v>0</v>
      </c>
      <c r="AG9" s="43" t="n">
        <v>0</v>
      </c>
      <c r="AH9" s="43" t="n">
        <v>0</v>
      </c>
      <c r="AI9" s="43" t="n">
        <v>0</v>
      </c>
      <c r="AJ9" s="44"/>
      <c r="AK9" s="43" t="n">
        <v>1</v>
      </c>
      <c r="AL9" s="43" t="n">
        <v>5</v>
      </c>
      <c r="AM9" s="45" t="n">
        <v>0.7</v>
      </c>
      <c r="AN9" s="45" t="n">
        <v>0.3</v>
      </c>
      <c r="AO9" s="45" t="n">
        <v>0.5</v>
      </c>
      <c r="AP9" s="46" t="n">
        <v>1200</v>
      </c>
      <c r="AQ9" s="46" t="n">
        <v>600</v>
      </c>
    </row>
    <row r="10" customFormat="false" ht="14.25" hidden="false" customHeight="false" outlineLevel="0" collapsed="false">
      <c r="A10" s="33" t="s">
        <v>122</v>
      </c>
      <c r="B10" s="33" t="n">
        <v>45139</v>
      </c>
      <c r="C10" s="34" t="s">
        <v>108</v>
      </c>
      <c r="D10" s="35" t="s">
        <v>29</v>
      </c>
      <c r="E10" s="35" t="s">
        <v>29</v>
      </c>
      <c r="F10" s="36" t="s">
        <v>123</v>
      </c>
      <c r="G10" s="37" t="s">
        <v>110</v>
      </c>
      <c r="H10" s="35" t="s">
        <v>124</v>
      </c>
      <c r="I10" s="35" t="s">
        <v>112</v>
      </c>
      <c r="J10" s="38" t="n">
        <v>10</v>
      </c>
      <c r="K10" s="39" t="n">
        <v>0</v>
      </c>
      <c r="L10" s="39" t="n">
        <v>0</v>
      </c>
      <c r="M10" s="39" t="n">
        <v>0.818181818181818</v>
      </c>
      <c r="N10" s="39" t="n">
        <v>1</v>
      </c>
      <c r="O10" s="40" t="n">
        <v>0.454545454545455</v>
      </c>
      <c r="P10" s="41" t="n">
        <v>0.454545454545455</v>
      </c>
      <c r="Q10" s="42" t="n">
        <v>8</v>
      </c>
      <c r="R10" s="42" t="n">
        <v>2</v>
      </c>
      <c r="S10" s="42" t="n">
        <v>10</v>
      </c>
      <c r="T10" s="42" t="n">
        <v>4</v>
      </c>
      <c r="U10" s="43" t="n">
        <v>0</v>
      </c>
      <c r="V10" s="43" t="n">
        <v>0</v>
      </c>
      <c r="W10" s="44" t="n">
        <v>0</v>
      </c>
      <c r="X10" s="44" t="n">
        <v>0</v>
      </c>
      <c r="Y10" s="43" t="n">
        <v>0</v>
      </c>
      <c r="Z10" s="43" t="n">
        <v>0</v>
      </c>
      <c r="AA10" s="44" t="n">
        <v>0</v>
      </c>
      <c r="AB10" s="44" t="n">
        <v>0</v>
      </c>
      <c r="AC10" s="43" t="n">
        <v>0</v>
      </c>
      <c r="AD10" s="43" t="n">
        <v>0</v>
      </c>
      <c r="AE10" s="44" t="n">
        <v>0</v>
      </c>
      <c r="AF10" s="44" t="n">
        <v>0</v>
      </c>
      <c r="AG10" s="43" t="n">
        <v>0</v>
      </c>
      <c r="AH10" s="43" t="n">
        <v>0</v>
      </c>
      <c r="AI10" s="43" t="n">
        <v>0</v>
      </c>
      <c r="AJ10" s="44"/>
      <c r="AK10" s="43" t="n">
        <v>0</v>
      </c>
      <c r="AL10" s="43" t="n">
        <v>0</v>
      </c>
      <c r="AM10" s="45" t="n">
        <v>0.7</v>
      </c>
      <c r="AN10" s="45" t="n">
        <v>0.3</v>
      </c>
      <c r="AO10" s="45" t="n">
        <v>0.454545454545455</v>
      </c>
      <c r="AP10" s="46" t="n">
        <v>1200</v>
      </c>
      <c r="AQ10" s="46" t="n">
        <v>545</v>
      </c>
    </row>
    <row r="11" customFormat="false" ht="14.25" hidden="false" customHeight="false" outlineLevel="0" collapsed="false">
      <c r="A11" s="33" t="s">
        <v>125</v>
      </c>
      <c r="B11" s="33" t="n">
        <v>46146</v>
      </c>
      <c r="C11" s="34" t="s">
        <v>126</v>
      </c>
      <c r="D11" s="35" t="s">
        <v>29</v>
      </c>
      <c r="E11" s="35" t="s">
        <v>29</v>
      </c>
      <c r="F11" s="36" t="s">
        <v>123</v>
      </c>
      <c r="G11" s="37" t="s">
        <v>110</v>
      </c>
      <c r="H11" s="35" t="s">
        <v>127</v>
      </c>
      <c r="I11" s="35" t="s">
        <v>112</v>
      </c>
      <c r="J11" s="38" t="n">
        <v>22</v>
      </c>
      <c r="K11" s="39" t="n">
        <v>1</v>
      </c>
      <c r="L11" s="39" t="n">
        <v>1</v>
      </c>
      <c r="M11" s="39" t="n">
        <v>1</v>
      </c>
      <c r="N11" s="39" t="n">
        <v>1</v>
      </c>
      <c r="O11" s="40" t="n">
        <v>1</v>
      </c>
      <c r="P11" s="41" t="n">
        <v>1</v>
      </c>
      <c r="Q11" s="42" t="n">
        <v>13</v>
      </c>
      <c r="R11" s="42" t="n">
        <v>4</v>
      </c>
      <c r="S11" s="42" t="n">
        <v>17</v>
      </c>
      <c r="T11" s="42" t="n">
        <v>5</v>
      </c>
      <c r="U11" s="43" t="n">
        <v>0</v>
      </c>
      <c r="V11" s="43" t="n">
        <v>0</v>
      </c>
      <c r="W11" s="44" t="n">
        <v>0</v>
      </c>
      <c r="X11" s="44" t="n">
        <v>0</v>
      </c>
      <c r="Y11" s="43" t="n">
        <v>0</v>
      </c>
      <c r="Z11" s="43" t="n">
        <v>1</v>
      </c>
      <c r="AA11" s="44" t="n">
        <v>1</v>
      </c>
      <c r="AB11" s="44" t="n">
        <v>1</v>
      </c>
      <c r="AC11" s="43" t="n">
        <v>0</v>
      </c>
      <c r="AD11" s="43" t="n">
        <v>0</v>
      </c>
      <c r="AE11" s="44" t="n">
        <v>0</v>
      </c>
      <c r="AF11" s="44" t="n">
        <v>0</v>
      </c>
      <c r="AG11" s="43" t="n">
        <v>2</v>
      </c>
      <c r="AH11" s="43" t="n">
        <v>0</v>
      </c>
      <c r="AI11" s="43" t="n">
        <v>0</v>
      </c>
      <c r="AJ11" s="44"/>
      <c r="AK11" s="43" t="n">
        <v>0</v>
      </c>
      <c r="AL11" s="43" t="n">
        <v>4</v>
      </c>
      <c r="AM11" s="45" t="n">
        <v>0.7</v>
      </c>
      <c r="AN11" s="45" t="n">
        <v>0.3</v>
      </c>
      <c r="AO11" s="45" t="n">
        <v>1</v>
      </c>
      <c r="AP11" s="46" t="n">
        <v>1200</v>
      </c>
      <c r="AQ11" s="46" t="n">
        <v>1200</v>
      </c>
    </row>
    <row r="12" customFormat="false" ht="14.25" hidden="false" customHeight="false" outlineLevel="0" collapsed="false">
      <c r="A12" s="33" t="s">
        <v>128</v>
      </c>
      <c r="B12" s="33" t="n">
        <v>44214</v>
      </c>
      <c r="C12" s="34" t="s">
        <v>108</v>
      </c>
      <c r="D12" s="35" t="s">
        <v>29</v>
      </c>
      <c r="E12" s="35" t="s">
        <v>29</v>
      </c>
      <c r="F12" s="36" t="s">
        <v>123</v>
      </c>
      <c r="G12" s="37" t="s">
        <v>110</v>
      </c>
      <c r="H12" s="35" t="s">
        <v>124</v>
      </c>
      <c r="I12" s="35" t="s">
        <v>112</v>
      </c>
      <c r="J12" s="38" t="n">
        <v>12</v>
      </c>
      <c r="K12" s="39" t="n">
        <v>1</v>
      </c>
      <c r="L12" s="39" t="n">
        <v>1</v>
      </c>
      <c r="M12" s="39" t="n">
        <v>0.181818181818182</v>
      </c>
      <c r="N12" s="39" t="n">
        <v>0</v>
      </c>
      <c r="O12" s="40" t="n">
        <v>0.545454545454545</v>
      </c>
      <c r="P12" s="41" t="n">
        <v>0.545454545454545</v>
      </c>
      <c r="Q12" s="42" t="n">
        <v>9</v>
      </c>
      <c r="R12" s="42" t="n">
        <v>3</v>
      </c>
      <c r="S12" s="42" t="n">
        <v>12</v>
      </c>
      <c r="T12" s="42" t="n">
        <v>3</v>
      </c>
      <c r="U12" s="43" t="n">
        <v>1</v>
      </c>
      <c r="V12" s="43" t="n">
        <v>1</v>
      </c>
      <c r="W12" s="44" t="n">
        <v>0</v>
      </c>
      <c r="X12" s="44" t="n">
        <v>0</v>
      </c>
      <c r="Y12" s="43" t="n">
        <v>0</v>
      </c>
      <c r="Z12" s="43" t="n">
        <v>2</v>
      </c>
      <c r="AA12" s="44" t="n">
        <v>0</v>
      </c>
      <c r="AB12" s="44" t="n">
        <v>0</v>
      </c>
      <c r="AC12" s="43" t="n">
        <v>0</v>
      </c>
      <c r="AD12" s="43" t="n">
        <v>0</v>
      </c>
      <c r="AE12" s="44" t="n">
        <v>0</v>
      </c>
      <c r="AF12" s="44" t="n">
        <v>0</v>
      </c>
      <c r="AG12" s="43" t="n">
        <v>3</v>
      </c>
      <c r="AH12" s="43" t="n">
        <v>2</v>
      </c>
      <c r="AI12" s="43" t="n">
        <v>0</v>
      </c>
      <c r="AJ12" s="44"/>
      <c r="AK12" s="43" t="n">
        <v>0</v>
      </c>
      <c r="AL12" s="43" t="n">
        <v>6</v>
      </c>
      <c r="AM12" s="45" t="n">
        <v>0.7</v>
      </c>
      <c r="AN12" s="45" t="n">
        <v>0.3</v>
      </c>
      <c r="AO12" s="45" t="n">
        <v>0.545454545454545</v>
      </c>
      <c r="AP12" s="46" t="n">
        <v>1200</v>
      </c>
      <c r="AQ12" s="46" t="n">
        <v>655</v>
      </c>
    </row>
    <row r="13" customFormat="false" ht="14.25" hidden="false" customHeight="false" outlineLevel="0" collapsed="false">
      <c r="A13" s="33" t="s">
        <v>129</v>
      </c>
      <c r="B13" s="33" t="n">
        <v>44228</v>
      </c>
      <c r="C13" s="34" t="s">
        <v>108</v>
      </c>
      <c r="D13" s="35" t="s">
        <v>29</v>
      </c>
      <c r="E13" s="35" t="s">
        <v>29</v>
      </c>
      <c r="F13" s="36" t="s">
        <v>123</v>
      </c>
      <c r="G13" s="37" t="s">
        <v>110</v>
      </c>
      <c r="H13" s="35" t="s">
        <v>127</v>
      </c>
      <c r="I13" s="35" t="s">
        <v>112</v>
      </c>
      <c r="J13" s="38" t="n">
        <v>12</v>
      </c>
      <c r="K13" s="39" t="n">
        <v>1</v>
      </c>
      <c r="L13" s="39" t="n">
        <v>1</v>
      </c>
      <c r="M13" s="39" t="n">
        <v>0.181818181818182</v>
      </c>
      <c r="N13" s="39" t="n">
        <v>0</v>
      </c>
      <c r="O13" s="40" t="n">
        <v>0.545454545454545</v>
      </c>
      <c r="P13" s="41" t="n">
        <v>0.545454545454545</v>
      </c>
      <c r="Q13" s="42" t="n">
        <v>7</v>
      </c>
      <c r="R13" s="42" t="n">
        <v>2</v>
      </c>
      <c r="S13" s="42" t="n">
        <v>9</v>
      </c>
      <c r="T13" s="42" t="n">
        <v>4</v>
      </c>
      <c r="U13" s="43" t="n">
        <v>0</v>
      </c>
      <c r="V13" s="43" t="n">
        <v>0</v>
      </c>
      <c r="W13" s="44" t="n">
        <v>0</v>
      </c>
      <c r="X13" s="44" t="n">
        <v>0</v>
      </c>
      <c r="Y13" s="43" t="n">
        <v>0</v>
      </c>
      <c r="Z13" s="43" t="n">
        <v>0</v>
      </c>
      <c r="AA13" s="44" t="n">
        <v>0</v>
      </c>
      <c r="AB13" s="44" t="n">
        <v>0</v>
      </c>
      <c r="AC13" s="43" t="n">
        <v>0</v>
      </c>
      <c r="AD13" s="43" t="n">
        <v>0</v>
      </c>
      <c r="AE13" s="44" t="n">
        <v>0</v>
      </c>
      <c r="AF13" s="44" t="n">
        <v>0</v>
      </c>
      <c r="AG13" s="43" t="n">
        <v>1</v>
      </c>
      <c r="AH13" s="43" t="n">
        <v>1</v>
      </c>
      <c r="AI13" s="43" t="n">
        <v>0</v>
      </c>
      <c r="AJ13" s="44"/>
      <c r="AK13" s="43" t="n">
        <v>0</v>
      </c>
      <c r="AL13" s="43" t="n">
        <v>2</v>
      </c>
      <c r="AM13" s="45" t="n">
        <v>0.7</v>
      </c>
      <c r="AN13" s="45" t="n">
        <v>0.3</v>
      </c>
      <c r="AO13" s="45" t="n">
        <v>0.545454545454545</v>
      </c>
      <c r="AP13" s="46" t="n">
        <v>1200</v>
      </c>
      <c r="AQ13" s="46" t="n">
        <v>655</v>
      </c>
    </row>
    <row r="14" customFormat="false" ht="14.25" hidden="false" customHeight="false" outlineLevel="0" collapsed="false">
      <c r="A14" s="33" t="s">
        <v>130</v>
      </c>
      <c r="B14" s="33" t="n">
        <v>44228</v>
      </c>
      <c r="C14" s="34" t="s">
        <v>108</v>
      </c>
      <c r="D14" s="35" t="s">
        <v>29</v>
      </c>
      <c r="E14" s="35" t="s">
        <v>29</v>
      </c>
      <c r="F14" s="36" t="s">
        <v>123</v>
      </c>
      <c r="G14" s="37" t="s">
        <v>110</v>
      </c>
      <c r="H14" s="35" t="s">
        <v>124</v>
      </c>
      <c r="I14" s="35" t="s">
        <v>112</v>
      </c>
      <c r="J14" s="38" t="n">
        <v>22</v>
      </c>
      <c r="K14" s="39" t="n">
        <v>1</v>
      </c>
      <c r="L14" s="39" t="n">
        <v>1</v>
      </c>
      <c r="M14" s="39" t="n">
        <v>1</v>
      </c>
      <c r="N14" s="39" t="n">
        <v>1</v>
      </c>
      <c r="O14" s="40" t="n">
        <v>1</v>
      </c>
      <c r="P14" s="41" t="n">
        <v>1</v>
      </c>
      <c r="Q14" s="42" t="n">
        <v>17</v>
      </c>
      <c r="R14" s="42" t="n">
        <v>5</v>
      </c>
      <c r="S14" s="42" t="n">
        <v>22</v>
      </c>
      <c r="T14" s="42" t="n">
        <v>8</v>
      </c>
      <c r="U14" s="43" t="n">
        <v>2</v>
      </c>
      <c r="V14" s="43" t="n">
        <v>2</v>
      </c>
      <c r="W14" s="44" t="n">
        <v>2</v>
      </c>
      <c r="X14" s="44" t="n">
        <v>3</v>
      </c>
      <c r="Y14" s="43" t="n">
        <v>1</v>
      </c>
      <c r="Z14" s="43" t="n">
        <v>1</v>
      </c>
      <c r="AA14" s="44" t="n">
        <v>1</v>
      </c>
      <c r="AB14" s="44" t="n">
        <v>1</v>
      </c>
      <c r="AC14" s="43" t="n">
        <v>0</v>
      </c>
      <c r="AD14" s="43" t="n">
        <v>0</v>
      </c>
      <c r="AE14" s="44" t="n">
        <v>0</v>
      </c>
      <c r="AF14" s="44" t="n">
        <v>0</v>
      </c>
      <c r="AG14" s="43" t="n">
        <v>0</v>
      </c>
      <c r="AH14" s="43" t="n">
        <v>3</v>
      </c>
      <c r="AI14" s="43" t="n">
        <v>0</v>
      </c>
      <c r="AJ14" s="44"/>
      <c r="AK14" s="43" t="n">
        <v>0</v>
      </c>
      <c r="AL14" s="43" t="n">
        <v>15</v>
      </c>
      <c r="AM14" s="45" t="n">
        <v>0.7</v>
      </c>
      <c r="AN14" s="45" t="n">
        <v>0.3</v>
      </c>
      <c r="AO14" s="45" t="n">
        <v>1</v>
      </c>
      <c r="AP14" s="46" t="n">
        <v>1200</v>
      </c>
      <c r="AQ14" s="46" t="n">
        <v>1200</v>
      </c>
    </row>
    <row r="15" customFormat="false" ht="14.25" hidden="false" customHeight="false" outlineLevel="0" collapsed="false">
      <c r="A15" s="33" t="s">
        <v>131</v>
      </c>
      <c r="B15" s="33" t="n">
        <v>45364</v>
      </c>
      <c r="C15" s="34" t="s">
        <v>108</v>
      </c>
      <c r="D15" s="35" t="s">
        <v>29</v>
      </c>
      <c r="E15" s="35" t="s">
        <v>29</v>
      </c>
      <c r="F15" s="36" t="s">
        <v>123</v>
      </c>
      <c r="G15" s="37" t="s">
        <v>110</v>
      </c>
      <c r="H15" s="35" t="s">
        <v>127</v>
      </c>
      <c r="I15" s="35" t="s">
        <v>112</v>
      </c>
      <c r="J15" s="38" t="n">
        <v>10</v>
      </c>
      <c r="K15" s="39" t="n">
        <v>0</v>
      </c>
      <c r="L15" s="39" t="n">
        <v>0</v>
      </c>
      <c r="M15" s="39" t="n">
        <v>0.818181818181818</v>
      </c>
      <c r="N15" s="39" t="n">
        <v>1</v>
      </c>
      <c r="O15" s="40" t="n">
        <v>0.454545454545455</v>
      </c>
      <c r="P15" s="41" t="n">
        <v>0.454545454545455</v>
      </c>
      <c r="Q15" s="42" t="n">
        <v>6</v>
      </c>
      <c r="R15" s="42" t="n">
        <v>2</v>
      </c>
      <c r="S15" s="42" t="n">
        <v>8</v>
      </c>
      <c r="T15" s="42" t="n">
        <v>4</v>
      </c>
      <c r="U15" s="43" t="n">
        <v>0</v>
      </c>
      <c r="V15" s="43" t="n">
        <v>0</v>
      </c>
      <c r="W15" s="44" t="n">
        <v>0</v>
      </c>
      <c r="X15" s="44" t="n">
        <v>0</v>
      </c>
      <c r="Y15" s="43" t="n">
        <v>0</v>
      </c>
      <c r="Z15" s="43" t="n">
        <v>0</v>
      </c>
      <c r="AA15" s="44" t="n">
        <v>0</v>
      </c>
      <c r="AB15" s="44" t="n">
        <v>0</v>
      </c>
      <c r="AC15" s="43" t="n">
        <v>0</v>
      </c>
      <c r="AD15" s="43" t="n">
        <v>0</v>
      </c>
      <c r="AE15" s="44" t="n">
        <v>0</v>
      </c>
      <c r="AF15" s="44" t="n">
        <v>0</v>
      </c>
      <c r="AG15" s="43" t="n">
        <v>0</v>
      </c>
      <c r="AH15" s="43" t="n">
        <v>0</v>
      </c>
      <c r="AI15" s="43" t="n">
        <v>0</v>
      </c>
      <c r="AJ15" s="44"/>
      <c r="AK15" s="43" t="n">
        <v>0</v>
      </c>
      <c r="AL15" s="43" t="n">
        <v>0</v>
      </c>
      <c r="AM15" s="45" t="n">
        <v>0.7</v>
      </c>
      <c r="AN15" s="45" t="n">
        <v>0.3</v>
      </c>
      <c r="AO15" s="45" t="n">
        <v>0.454545454545455</v>
      </c>
      <c r="AP15" s="46" t="n">
        <v>1200</v>
      </c>
      <c r="AQ15" s="46" t="n">
        <v>545</v>
      </c>
    </row>
    <row r="16" customFormat="false" ht="14.25" hidden="false" customHeight="false" outlineLevel="0" collapsed="false">
      <c r="A16" s="33" t="s">
        <v>132</v>
      </c>
      <c r="B16" s="33" t="n">
        <v>43409</v>
      </c>
      <c r="C16" s="34" t="s">
        <v>108</v>
      </c>
      <c r="D16" s="35" t="s">
        <v>29</v>
      </c>
      <c r="E16" s="35" t="s">
        <v>29</v>
      </c>
      <c r="F16" s="36" t="s">
        <v>123</v>
      </c>
      <c r="G16" s="37" t="s">
        <v>110</v>
      </c>
      <c r="H16" s="35" t="s">
        <v>127</v>
      </c>
      <c r="I16" s="35" t="s">
        <v>112</v>
      </c>
      <c r="J16" s="38" t="n">
        <v>22</v>
      </c>
      <c r="K16" s="39" t="n">
        <v>1</v>
      </c>
      <c r="L16" s="39" t="n">
        <v>1</v>
      </c>
      <c r="M16" s="39" t="n">
        <v>1</v>
      </c>
      <c r="N16" s="39" t="n">
        <v>1</v>
      </c>
      <c r="O16" s="40" t="n">
        <v>1</v>
      </c>
      <c r="P16" s="41" t="n">
        <v>1</v>
      </c>
      <c r="Q16" s="42" t="n">
        <v>13</v>
      </c>
      <c r="R16" s="42" t="n">
        <v>4</v>
      </c>
      <c r="S16" s="42" t="n">
        <v>17</v>
      </c>
      <c r="T16" s="42" t="n">
        <v>6</v>
      </c>
      <c r="U16" s="43" t="n">
        <v>3</v>
      </c>
      <c r="V16" s="43" t="n">
        <v>3</v>
      </c>
      <c r="W16" s="44" t="n">
        <v>4</v>
      </c>
      <c r="X16" s="44" t="n">
        <v>5</v>
      </c>
      <c r="Y16" s="43" t="n">
        <v>0</v>
      </c>
      <c r="Z16" s="43" t="n">
        <v>0</v>
      </c>
      <c r="AA16" s="44" t="n">
        <v>0</v>
      </c>
      <c r="AB16" s="44" t="n">
        <v>0</v>
      </c>
      <c r="AC16" s="43" t="n">
        <v>0</v>
      </c>
      <c r="AD16" s="43" t="n">
        <v>0</v>
      </c>
      <c r="AE16" s="44" t="n">
        <v>0</v>
      </c>
      <c r="AF16" s="44" t="n">
        <v>0</v>
      </c>
      <c r="AG16" s="43" t="n">
        <v>1</v>
      </c>
      <c r="AH16" s="43" t="n">
        <v>4</v>
      </c>
      <c r="AI16" s="43" t="n">
        <v>0</v>
      </c>
      <c r="AJ16" s="44"/>
      <c r="AK16" s="43" t="n">
        <v>0</v>
      </c>
      <c r="AL16" s="43" t="n">
        <v>19</v>
      </c>
      <c r="AM16" s="45" t="n">
        <v>0.7</v>
      </c>
      <c r="AN16" s="45" t="n">
        <v>0.3</v>
      </c>
      <c r="AO16" s="45" t="n">
        <v>1</v>
      </c>
      <c r="AP16" s="46" t="n">
        <v>1200</v>
      </c>
      <c r="AQ16" s="46" t="n">
        <v>1200</v>
      </c>
    </row>
    <row r="17" customFormat="false" ht="14.25" hidden="false" customHeight="false" outlineLevel="0" collapsed="false">
      <c r="A17" s="33" t="s">
        <v>133</v>
      </c>
      <c r="B17" s="33" t="n">
        <v>46062</v>
      </c>
      <c r="C17" s="34" t="s">
        <v>134</v>
      </c>
      <c r="D17" s="35" t="s">
        <v>29</v>
      </c>
      <c r="E17" s="35" t="s">
        <v>29</v>
      </c>
      <c r="F17" s="36" t="s">
        <v>135</v>
      </c>
      <c r="G17" s="37" t="s">
        <v>110</v>
      </c>
      <c r="H17" s="35" t="s">
        <v>136</v>
      </c>
      <c r="I17" s="35" t="s">
        <v>112</v>
      </c>
      <c r="J17" s="38" t="n">
        <v>16.5</v>
      </c>
      <c r="K17" s="39" t="n">
        <v>0</v>
      </c>
      <c r="L17" s="39" t="n">
        <v>1</v>
      </c>
      <c r="M17" s="39" t="n">
        <v>1</v>
      </c>
      <c r="N17" s="39" t="n">
        <v>1</v>
      </c>
      <c r="O17" s="40" t="n">
        <v>0.75</v>
      </c>
      <c r="P17" s="41" t="n">
        <v>0.75</v>
      </c>
      <c r="Q17" s="42" t="n">
        <v>13</v>
      </c>
      <c r="R17" s="42" t="n">
        <v>4</v>
      </c>
      <c r="S17" s="42" t="n">
        <v>17</v>
      </c>
      <c r="T17" s="42" t="n">
        <v>7</v>
      </c>
      <c r="U17" s="43" t="n">
        <v>1</v>
      </c>
      <c r="V17" s="43" t="n">
        <v>1</v>
      </c>
      <c r="W17" s="44" t="n">
        <v>1</v>
      </c>
      <c r="X17" s="44" t="n">
        <v>1</v>
      </c>
      <c r="Y17" s="43" t="n">
        <v>0</v>
      </c>
      <c r="Z17" s="43" t="n">
        <v>0</v>
      </c>
      <c r="AA17" s="44" t="n">
        <v>0</v>
      </c>
      <c r="AB17" s="44" t="n">
        <v>0</v>
      </c>
      <c r="AC17" s="43" t="n">
        <v>0</v>
      </c>
      <c r="AD17" s="43" t="n">
        <v>0</v>
      </c>
      <c r="AE17" s="44" t="n">
        <v>0</v>
      </c>
      <c r="AF17" s="44" t="n">
        <v>0</v>
      </c>
      <c r="AG17" s="43" t="n">
        <v>0</v>
      </c>
      <c r="AH17" s="43" t="n">
        <v>1</v>
      </c>
      <c r="AI17" s="43" t="n">
        <v>0</v>
      </c>
      <c r="AJ17" s="44"/>
      <c r="AK17" s="43" t="n">
        <v>0</v>
      </c>
      <c r="AL17" s="43" t="n">
        <v>4</v>
      </c>
      <c r="AM17" s="45" t="n">
        <v>0.7</v>
      </c>
      <c r="AN17" s="45" t="n">
        <v>0.3</v>
      </c>
      <c r="AO17" s="45" t="n">
        <v>0.75</v>
      </c>
      <c r="AP17" s="46" t="n">
        <v>1200</v>
      </c>
      <c r="AQ17" s="46" t="n">
        <v>900</v>
      </c>
    </row>
    <row r="18" customFormat="false" ht="14.25" hidden="false" customHeight="false" outlineLevel="0" collapsed="false">
      <c r="A18" s="33" t="s">
        <v>137</v>
      </c>
      <c r="B18" s="33" t="n">
        <v>45026</v>
      </c>
      <c r="C18" s="34" t="s">
        <v>108</v>
      </c>
      <c r="D18" s="35" t="s">
        <v>29</v>
      </c>
      <c r="E18" s="35" t="s">
        <v>29</v>
      </c>
      <c r="F18" s="36" t="s">
        <v>135</v>
      </c>
      <c r="G18" s="37" t="s">
        <v>110</v>
      </c>
      <c r="H18" s="35" t="s">
        <v>138</v>
      </c>
      <c r="I18" s="35" t="s">
        <v>112</v>
      </c>
      <c r="J18" s="38" t="n">
        <v>5.5</v>
      </c>
      <c r="K18" s="39" t="n">
        <v>0</v>
      </c>
      <c r="L18" s="39" t="n">
        <v>0</v>
      </c>
      <c r="M18" s="39" t="n">
        <v>0</v>
      </c>
      <c r="N18" s="39" t="n">
        <v>1</v>
      </c>
      <c r="O18" s="40" t="n">
        <v>0.25</v>
      </c>
      <c r="P18" s="41" t="n">
        <v>0.25</v>
      </c>
      <c r="Q18" s="42" t="n">
        <v>2</v>
      </c>
      <c r="R18" s="42" t="n">
        <v>0</v>
      </c>
      <c r="S18" s="42" t="n">
        <v>2</v>
      </c>
      <c r="T18" s="42" t="n">
        <v>12</v>
      </c>
      <c r="U18" s="43" t="n">
        <v>0</v>
      </c>
      <c r="V18" s="43" t="n">
        <v>0</v>
      </c>
      <c r="W18" s="44" t="n">
        <v>0</v>
      </c>
      <c r="X18" s="44" t="n">
        <v>0</v>
      </c>
      <c r="Y18" s="43" t="n">
        <v>0</v>
      </c>
      <c r="Z18" s="43" t="n">
        <v>0</v>
      </c>
      <c r="AA18" s="44" t="n">
        <v>0</v>
      </c>
      <c r="AB18" s="44" t="n">
        <v>0</v>
      </c>
      <c r="AC18" s="43" t="n">
        <v>0</v>
      </c>
      <c r="AD18" s="43" t="n">
        <v>0</v>
      </c>
      <c r="AE18" s="44" t="n">
        <v>0</v>
      </c>
      <c r="AF18" s="44" t="n">
        <v>0</v>
      </c>
      <c r="AG18" s="43" t="n">
        <v>0</v>
      </c>
      <c r="AH18" s="43" t="n">
        <v>0</v>
      </c>
      <c r="AI18" s="43" t="n">
        <v>0</v>
      </c>
      <c r="AJ18" s="44"/>
      <c r="AK18" s="43" t="n">
        <v>0</v>
      </c>
      <c r="AL18" s="43" t="n">
        <v>0</v>
      </c>
      <c r="AM18" s="45" t="n">
        <v>0.7</v>
      </c>
      <c r="AN18" s="45" t="n">
        <v>0.3</v>
      </c>
      <c r="AO18" s="45" t="n">
        <v>0.25</v>
      </c>
      <c r="AP18" s="46" t="n">
        <v>1200</v>
      </c>
      <c r="AQ18" s="46" t="n">
        <v>300</v>
      </c>
    </row>
    <row r="19" customFormat="false" ht="14.25" hidden="false" customHeight="false" outlineLevel="0" collapsed="false">
      <c r="A19" s="33" t="s">
        <v>139</v>
      </c>
      <c r="B19" s="33" t="n">
        <v>46113</v>
      </c>
      <c r="C19" s="34" t="s">
        <v>140</v>
      </c>
      <c r="D19" s="35" t="s">
        <v>29</v>
      </c>
      <c r="E19" s="35" t="s">
        <v>29</v>
      </c>
      <c r="F19" s="36" t="s">
        <v>135</v>
      </c>
      <c r="G19" s="37" t="s">
        <v>110</v>
      </c>
      <c r="H19" s="35" t="s">
        <v>138</v>
      </c>
      <c r="I19" s="35" t="s">
        <v>112</v>
      </c>
      <c r="J19" s="38" t="n">
        <v>22</v>
      </c>
      <c r="K19" s="39" t="n">
        <v>1</v>
      </c>
      <c r="L19" s="39" t="n">
        <v>1</v>
      </c>
      <c r="M19" s="39" t="n">
        <v>1</v>
      </c>
      <c r="N19" s="39" t="n">
        <v>1</v>
      </c>
      <c r="O19" s="40" t="n">
        <v>1</v>
      </c>
      <c r="P19" s="41" t="n">
        <v>1</v>
      </c>
      <c r="Q19" s="42" t="n">
        <v>7</v>
      </c>
      <c r="R19" s="42" t="n">
        <v>2</v>
      </c>
      <c r="S19" s="42" t="n">
        <v>9</v>
      </c>
      <c r="T19" s="42" t="n">
        <v>17</v>
      </c>
      <c r="U19" s="43" t="n">
        <v>2</v>
      </c>
      <c r="V19" s="43" t="n">
        <v>2</v>
      </c>
      <c r="W19" s="44" t="n">
        <v>2</v>
      </c>
      <c r="X19" s="44" t="n">
        <v>3</v>
      </c>
      <c r="Y19" s="43" t="n">
        <v>0</v>
      </c>
      <c r="Z19" s="43" t="n">
        <v>0</v>
      </c>
      <c r="AA19" s="44" t="n">
        <v>0</v>
      </c>
      <c r="AB19" s="44" t="n">
        <v>0</v>
      </c>
      <c r="AC19" s="43" t="n">
        <v>0</v>
      </c>
      <c r="AD19" s="43" t="n">
        <v>0</v>
      </c>
      <c r="AE19" s="44" t="n">
        <v>0</v>
      </c>
      <c r="AF19" s="44" t="n">
        <v>0</v>
      </c>
      <c r="AG19" s="43" t="n">
        <v>0</v>
      </c>
      <c r="AH19" s="43" t="n">
        <v>0</v>
      </c>
      <c r="AI19" s="43" t="n">
        <v>0</v>
      </c>
      <c r="AJ19" s="44"/>
      <c r="AK19" s="43" t="n">
        <v>0</v>
      </c>
      <c r="AL19" s="43" t="n">
        <v>9</v>
      </c>
      <c r="AM19" s="45" t="n">
        <v>0.7</v>
      </c>
      <c r="AN19" s="45" t="n">
        <v>0.3</v>
      </c>
      <c r="AO19" s="45" t="n">
        <v>1</v>
      </c>
      <c r="AP19" s="46" t="n">
        <v>1200</v>
      </c>
      <c r="AQ19" s="46" t="n">
        <v>1200</v>
      </c>
    </row>
    <row r="20" customFormat="false" ht="14.25" hidden="false" customHeight="false" outlineLevel="0" collapsed="false">
      <c r="A20" s="33" t="s">
        <v>141</v>
      </c>
      <c r="B20" s="33" t="n">
        <v>44593</v>
      </c>
      <c r="C20" s="34" t="s">
        <v>108</v>
      </c>
      <c r="D20" s="35" t="s">
        <v>29</v>
      </c>
      <c r="E20" s="35" t="s">
        <v>29</v>
      </c>
      <c r="F20" s="36" t="s">
        <v>135</v>
      </c>
      <c r="G20" s="37" t="s">
        <v>110</v>
      </c>
      <c r="H20" s="35" t="s">
        <v>136</v>
      </c>
      <c r="I20" s="35" t="s">
        <v>112</v>
      </c>
      <c r="J20" s="38" t="n">
        <v>16.5</v>
      </c>
      <c r="K20" s="39" t="n">
        <v>1</v>
      </c>
      <c r="L20" s="39" t="n">
        <v>1</v>
      </c>
      <c r="M20" s="39" t="n">
        <v>0</v>
      </c>
      <c r="N20" s="39" t="n">
        <v>1</v>
      </c>
      <c r="O20" s="40" t="n">
        <v>0.75</v>
      </c>
      <c r="P20" s="41" t="n">
        <v>0.75</v>
      </c>
      <c r="Q20" s="42" t="n">
        <v>13</v>
      </c>
      <c r="R20" s="42" t="n">
        <v>4</v>
      </c>
      <c r="S20" s="42" t="n">
        <v>17</v>
      </c>
      <c r="T20" s="42" t="n">
        <v>7</v>
      </c>
      <c r="U20" s="43" t="n">
        <v>3</v>
      </c>
      <c r="V20" s="43" t="n">
        <v>3</v>
      </c>
      <c r="W20" s="44" t="n">
        <v>0</v>
      </c>
      <c r="X20" s="44" t="n">
        <v>2</v>
      </c>
      <c r="Y20" s="43" t="n">
        <v>0</v>
      </c>
      <c r="Z20" s="43" t="n">
        <v>0</v>
      </c>
      <c r="AA20" s="44" t="n">
        <v>0</v>
      </c>
      <c r="AB20" s="44" t="n">
        <v>0</v>
      </c>
      <c r="AC20" s="43" t="n">
        <v>0</v>
      </c>
      <c r="AD20" s="43" t="n">
        <v>0</v>
      </c>
      <c r="AE20" s="44" t="n">
        <v>0</v>
      </c>
      <c r="AF20" s="44" t="n">
        <v>0</v>
      </c>
      <c r="AG20" s="43" t="n">
        <v>3</v>
      </c>
      <c r="AH20" s="43" t="n">
        <v>2</v>
      </c>
      <c r="AI20" s="43" t="n">
        <v>0</v>
      </c>
      <c r="AJ20" s="44"/>
      <c r="AK20" s="43" t="n">
        <v>0</v>
      </c>
      <c r="AL20" s="43" t="n">
        <v>10</v>
      </c>
      <c r="AM20" s="45" t="n">
        <v>0.7</v>
      </c>
      <c r="AN20" s="45" t="n">
        <v>0.3</v>
      </c>
      <c r="AO20" s="45" t="n">
        <v>0.75</v>
      </c>
      <c r="AP20" s="46" t="n">
        <v>1200</v>
      </c>
      <c r="AQ20" s="46" t="n">
        <v>900</v>
      </c>
    </row>
    <row r="21" customFormat="false" ht="14.25" hidden="false" customHeight="false" outlineLevel="0" collapsed="false">
      <c r="A21" s="33" t="s">
        <v>142</v>
      </c>
      <c r="B21" s="33" t="n">
        <v>41960</v>
      </c>
      <c r="C21" s="34" t="s">
        <v>108</v>
      </c>
      <c r="D21" s="35" t="s">
        <v>29</v>
      </c>
      <c r="E21" s="35" t="s">
        <v>29</v>
      </c>
      <c r="F21" s="36" t="s">
        <v>135</v>
      </c>
      <c r="G21" s="37" t="s">
        <v>110</v>
      </c>
      <c r="H21" s="35" t="s">
        <v>136</v>
      </c>
      <c r="I21" s="35" t="s">
        <v>112</v>
      </c>
      <c r="J21" s="38" t="n">
        <v>22</v>
      </c>
      <c r="K21" s="39" t="n">
        <v>1</v>
      </c>
      <c r="L21" s="39" t="n">
        <v>1</v>
      </c>
      <c r="M21" s="39" t="n">
        <v>1</v>
      </c>
      <c r="N21" s="39" t="n">
        <v>1</v>
      </c>
      <c r="O21" s="40" t="n">
        <v>1</v>
      </c>
      <c r="P21" s="41" t="n">
        <v>1</v>
      </c>
      <c r="Q21" s="42" t="n">
        <v>18</v>
      </c>
      <c r="R21" s="42" t="n">
        <v>5</v>
      </c>
      <c r="S21" s="42" t="n">
        <v>23</v>
      </c>
      <c r="T21" s="42" t="n">
        <v>8</v>
      </c>
      <c r="U21" s="43" t="n">
        <v>2</v>
      </c>
      <c r="V21" s="43" t="n">
        <v>2</v>
      </c>
      <c r="W21" s="44" t="n">
        <v>2</v>
      </c>
      <c r="X21" s="44" t="n">
        <v>3</v>
      </c>
      <c r="Y21" s="43" t="n">
        <v>0</v>
      </c>
      <c r="Z21" s="43" t="n">
        <v>1</v>
      </c>
      <c r="AA21" s="44" t="n">
        <v>1</v>
      </c>
      <c r="AB21" s="44" t="n">
        <v>1</v>
      </c>
      <c r="AC21" s="43" t="n">
        <v>0</v>
      </c>
      <c r="AD21" s="43" t="n">
        <v>0</v>
      </c>
      <c r="AE21" s="44" t="n">
        <v>0</v>
      </c>
      <c r="AF21" s="44" t="n">
        <v>0</v>
      </c>
      <c r="AG21" s="43" t="n">
        <v>0</v>
      </c>
      <c r="AH21" s="43" t="n">
        <v>2</v>
      </c>
      <c r="AI21" s="43" t="n">
        <v>1</v>
      </c>
      <c r="AJ21" s="44"/>
      <c r="AK21" s="43" t="n">
        <v>1</v>
      </c>
      <c r="AL21" s="43" t="n">
        <v>13</v>
      </c>
      <c r="AM21" s="45" t="n">
        <v>0.7</v>
      </c>
      <c r="AN21" s="45" t="n">
        <v>0.3</v>
      </c>
      <c r="AO21" s="45" t="n">
        <v>1</v>
      </c>
      <c r="AP21" s="46" t="n">
        <v>1200</v>
      </c>
      <c r="AQ21" s="46" t="n">
        <v>1200</v>
      </c>
    </row>
    <row r="22" customFormat="false" ht="14.25" hidden="false" customHeight="false" outlineLevel="0" collapsed="false">
      <c r="A22" s="33" t="s">
        <v>143</v>
      </c>
      <c r="B22" s="33" t="n">
        <v>43537</v>
      </c>
      <c r="C22" s="34" t="s">
        <v>108</v>
      </c>
      <c r="D22" s="35" t="s">
        <v>29</v>
      </c>
      <c r="E22" s="35" t="s">
        <v>29</v>
      </c>
      <c r="F22" s="36" t="s">
        <v>135</v>
      </c>
      <c r="G22" s="37" t="s">
        <v>110</v>
      </c>
      <c r="H22" s="35" t="s">
        <v>144</v>
      </c>
      <c r="I22" s="35" t="s">
        <v>112</v>
      </c>
      <c r="J22" s="38" t="n">
        <v>16.5</v>
      </c>
      <c r="K22" s="39" t="n">
        <v>1</v>
      </c>
      <c r="L22" s="39" t="n">
        <v>1</v>
      </c>
      <c r="M22" s="39" t="n">
        <v>1</v>
      </c>
      <c r="N22" s="39" t="n">
        <v>0</v>
      </c>
      <c r="O22" s="40" t="n">
        <v>0.75</v>
      </c>
      <c r="P22" s="41" t="n">
        <v>0.75</v>
      </c>
      <c r="Q22" s="42" t="n">
        <v>9</v>
      </c>
      <c r="R22" s="42" t="n">
        <v>3</v>
      </c>
      <c r="S22" s="42" t="n">
        <v>12</v>
      </c>
      <c r="T22" s="42" t="n">
        <v>5</v>
      </c>
      <c r="U22" s="43" t="n">
        <v>2</v>
      </c>
      <c r="V22" s="43" t="n">
        <v>2</v>
      </c>
      <c r="W22" s="44" t="n">
        <v>2</v>
      </c>
      <c r="X22" s="44" t="n">
        <v>0</v>
      </c>
      <c r="Y22" s="43" t="n">
        <v>0</v>
      </c>
      <c r="Z22" s="43" t="n">
        <v>1</v>
      </c>
      <c r="AA22" s="44" t="n">
        <v>1</v>
      </c>
      <c r="AB22" s="44" t="n">
        <v>0</v>
      </c>
      <c r="AC22" s="43" t="n">
        <v>0</v>
      </c>
      <c r="AD22" s="43" t="n">
        <v>0</v>
      </c>
      <c r="AE22" s="44" t="n">
        <v>0</v>
      </c>
      <c r="AF22" s="44" t="n">
        <v>0</v>
      </c>
      <c r="AG22" s="43" t="n">
        <v>0</v>
      </c>
      <c r="AH22" s="43" t="n">
        <v>1</v>
      </c>
      <c r="AI22" s="43" t="n">
        <v>0</v>
      </c>
      <c r="AJ22" s="44"/>
      <c r="AK22" s="43" t="n">
        <v>0</v>
      </c>
      <c r="AL22" s="43" t="n">
        <v>8</v>
      </c>
      <c r="AM22" s="45" t="n">
        <v>0.7</v>
      </c>
      <c r="AN22" s="45" t="n">
        <v>0.3</v>
      </c>
      <c r="AO22" s="45" t="n">
        <v>0.75</v>
      </c>
      <c r="AP22" s="46" t="n">
        <v>1200</v>
      </c>
      <c r="AQ22" s="46" t="n">
        <v>900</v>
      </c>
    </row>
    <row r="23" customFormat="false" ht="14.25" hidden="false" customHeight="false" outlineLevel="0" collapsed="false">
      <c r="A23" s="33" t="s">
        <v>145</v>
      </c>
      <c r="B23" s="33" t="n">
        <v>43530</v>
      </c>
      <c r="C23" s="34" t="s">
        <v>108</v>
      </c>
      <c r="D23" s="35" t="s">
        <v>29</v>
      </c>
      <c r="E23" s="35" t="s">
        <v>29</v>
      </c>
      <c r="F23" s="36" t="s">
        <v>135</v>
      </c>
      <c r="G23" s="37" t="s">
        <v>110</v>
      </c>
      <c r="H23" s="35" t="s">
        <v>136</v>
      </c>
      <c r="I23" s="35" t="s">
        <v>112</v>
      </c>
      <c r="J23" s="38" t="n">
        <v>0</v>
      </c>
      <c r="K23" s="39" t="n">
        <v>0</v>
      </c>
      <c r="L23" s="39" t="n">
        <v>0</v>
      </c>
      <c r="M23" s="39" t="n">
        <v>0</v>
      </c>
      <c r="N23" s="39" t="n">
        <v>0</v>
      </c>
      <c r="O23" s="40" t="n">
        <v>0</v>
      </c>
      <c r="P23" s="41" t="n">
        <v>0</v>
      </c>
      <c r="Q23" s="42" t="n">
        <v>0</v>
      </c>
      <c r="R23" s="42" t="n">
        <v>0</v>
      </c>
      <c r="S23" s="42" t="n">
        <v>0</v>
      </c>
      <c r="T23" s="42" t="n">
        <v>0</v>
      </c>
      <c r="U23" s="43" t="n">
        <v>0</v>
      </c>
      <c r="V23" s="43" t="n">
        <v>0</v>
      </c>
      <c r="W23" s="44" t="n">
        <v>0</v>
      </c>
      <c r="X23" s="44" t="n">
        <v>0</v>
      </c>
      <c r="Y23" s="43" t="n">
        <v>0</v>
      </c>
      <c r="Z23" s="43" t="n">
        <v>0</v>
      </c>
      <c r="AA23" s="44" t="n">
        <v>0</v>
      </c>
      <c r="AB23" s="44" t="n">
        <v>0</v>
      </c>
      <c r="AC23" s="43" t="n">
        <v>0</v>
      </c>
      <c r="AD23" s="43" t="n">
        <v>0</v>
      </c>
      <c r="AE23" s="44" t="n">
        <v>0</v>
      </c>
      <c r="AF23" s="44" t="n">
        <v>0</v>
      </c>
      <c r="AG23" s="43" t="n">
        <v>0</v>
      </c>
      <c r="AH23" s="43" t="n">
        <v>0</v>
      </c>
      <c r="AI23" s="43" t="n">
        <v>0</v>
      </c>
      <c r="AJ23" s="44"/>
      <c r="AK23" s="43" t="n">
        <v>0</v>
      </c>
      <c r="AL23" s="43" t="n">
        <v>0</v>
      </c>
      <c r="AM23" s="45" t="n">
        <v>0.7</v>
      </c>
      <c r="AN23" s="45" t="n">
        <v>0.3</v>
      </c>
      <c r="AO23" s="45" t="n">
        <v>0</v>
      </c>
      <c r="AP23" s="46" t="n">
        <v>1200</v>
      </c>
      <c r="AQ23" s="46" t="n">
        <v>0</v>
      </c>
    </row>
    <row r="24" customFormat="false" ht="14.25" hidden="false" customHeight="false" outlineLevel="0" collapsed="false">
      <c r="A24" s="33" t="s">
        <v>146</v>
      </c>
      <c r="B24" s="33" t="n">
        <v>45355</v>
      </c>
      <c r="C24" s="34" t="s">
        <v>108</v>
      </c>
      <c r="D24" s="35" t="s">
        <v>29</v>
      </c>
      <c r="E24" s="35" t="s">
        <v>29</v>
      </c>
      <c r="F24" s="36" t="s">
        <v>135</v>
      </c>
      <c r="G24" s="37" t="s">
        <v>110</v>
      </c>
      <c r="H24" s="35" t="s">
        <v>144</v>
      </c>
      <c r="I24" s="35" t="s">
        <v>112</v>
      </c>
      <c r="J24" s="38" t="n">
        <v>16.5</v>
      </c>
      <c r="K24" s="39" t="n">
        <v>1</v>
      </c>
      <c r="L24" s="39" t="n">
        <v>0</v>
      </c>
      <c r="M24" s="39" t="n">
        <v>1</v>
      </c>
      <c r="N24" s="39" t="n">
        <v>1</v>
      </c>
      <c r="O24" s="40" t="n">
        <v>0.75</v>
      </c>
      <c r="P24" s="41" t="n">
        <v>0.75</v>
      </c>
      <c r="Q24" s="42" t="n">
        <v>9</v>
      </c>
      <c r="R24" s="42" t="n">
        <v>3</v>
      </c>
      <c r="S24" s="42" t="n">
        <v>12</v>
      </c>
      <c r="T24" s="42" t="n">
        <v>4</v>
      </c>
      <c r="U24" s="43" t="n">
        <v>1</v>
      </c>
      <c r="V24" s="43" t="n">
        <v>1</v>
      </c>
      <c r="W24" s="44" t="n">
        <v>1</v>
      </c>
      <c r="X24" s="44" t="n">
        <v>1</v>
      </c>
      <c r="Y24" s="43" t="n">
        <v>0</v>
      </c>
      <c r="Z24" s="43" t="n">
        <v>1</v>
      </c>
      <c r="AA24" s="44" t="n">
        <v>1</v>
      </c>
      <c r="AB24" s="44" t="n">
        <v>1</v>
      </c>
      <c r="AC24" s="43" t="n">
        <v>0</v>
      </c>
      <c r="AD24" s="43" t="n">
        <v>0</v>
      </c>
      <c r="AE24" s="44" t="n">
        <v>0</v>
      </c>
      <c r="AF24" s="44" t="n">
        <v>0</v>
      </c>
      <c r="AG24" s="43" t="n">
        <v>1</v>
      </c>
      <c r="AH24" s="43" t="n">
        <v>0</v>
      </c>
      <c r="AI24" s="43" t="n">
        <v>0</v>
      </c>
      <c r="AJ24" s="44"/>
      <c r="AK24" s="43" t="n">
        <v>0</v>
      </c>
      <c r="AL24" s="43" t="n">
        <v>8</v>
      </c>
      <c r="AM24" s="45" t="n">
        <v>0.7</v>
      </c>
      <c r="AN24" s="45" t="n">
        <v>0.3</v>
      </c>
      <c r="AO24" s="45" t="n">
        <v>0.75</v>
      </c>
      <c r="AP24" s="46" t="n">
        <v>1200</v>
      </c>
      <c r="AQ24" s="46" t="n">
        <v>900</v>
      </c>
    </row>
    <row r="25" customFormat="false" ht="14.25" hidden="false" customHeight="false" outlineLevel="0" collapsed="false">
      <c r="A25" s="33" t="s">
        <v>147</v>
      </c>
      <c r="B25" s="33" t="n">
        <v>44875</v>
      </c>
      <c r="C25" s="34" t="s">
        <v>108</v>
      </c>
      <c r="D25" s="35" t="s">
        <v>148</v>
      </c>
      <c r="E25" s="35" t="s">
        <v>28</v>
      </c>
      <c r="F25" s="36" t="s">
        <v>149</v>
      </c>
      <c r="G25" s="37" t="s">
        <v>150</v>
      </c>
      <c r="H25" s="35" t="s">
        <v>112</v>
      </c>
      <c r="I25" s="35" t="s">
        <v>112</v>
      </c>
      <c r="J25" s="38" t="n">
        <v>16.5</v>
      </c>
      <c r="K25" s="39" t="n">
        <v>1</v>
      </c>
      <c r="L25" s="39" t="n">
        <v>1</v>
      </c>
      <c r="M25" s="39" t="n">
        <v>1</v>
      </c>
      <c r="N25" s="39" t="n">
        <v>0</v>
      </c>
      <c r="O25" s="40" t="n">
        <v>0.75</v>
      </c>
      <c r="P25" s="41" t="n">
        <v>0.75</v>
      </c>
      <c r="Q25" s="42" t="n">
        <v>18</v>
      </c>
      <c r="R25" s="42" t="n">
        <v>5</v>
      </c>
      <c r="S25" s="42" t="n">
        <v>23</v>
      </c>
      <c r="T25" s="42" t="n">
        <v>9</v>
      </c>
      <c r="U25" s="43" t="n">
        <v>3</v>
      </c>
      <c r="V25" s="43" t="n">
        <v>3</v>
      </c>
      <c r="W25" s="44" t="n">
        <v>4</v>
      </c>
      <c r="X25" s="44" t="n">
        <v>0</v>
      </c>
      <c r="Y25" s="43" t="n">
        <v>0</v>
      </c>
      <c r="Z25" s="43" t="n">
        <v>0</v>
      </c>
      <c r="AA25" s="44" t="n">
        <v>0</v>
      </c>
      <c r="AB25" s="44" t="n">
        <v>0</v>
      </c>
      <c r="AC25" s="43" t="n">
        <v>0</v>
      </c>
      <c r="AD25" s="43" t="n">
        <v>0</v>
      </c>
      <c r="AE25" s="44" t="n">
        <v>0</v>
      </c>
      <c r="AF25" s="44" t="n">
        <v>0</v>
      </c>
      <c r="AG25" s="43" t="n">
        <v>1</v>
      </c>
      <c r="AH25" s="43" t="n">
        <v>3</v>
      </c>
      <c r="AI25" s="43" t="n">
        <v>0</v>
      </c>
      <c r="AJ25" s="44"/>
      <c r="AK25" s="43" t="n">
        <v>0</v>
      </c>
      <c r="AL25" s="43" t="n">
        <v>13</v>
      </c>
      <c r="AM25" s="45" t="n">
        <v>0.7</v>
      </c>
      <c r="AN25" s="45" t="n">
        <v>0.3</v>
      </c>
      <c r="AO25" s="45" t="n">
        <v>0.75</v>
      </c>
      <c r="AP25" s="46" t="n">
        <v>1200</v>
      </c>
      <c r="AQ25" s="46" t="n">
        <v>900</v>
      </c>
    </row>
    <row r="26" customFormat="false" ht="14.25" hidden="false" customHeight="false" outlineLevel="0" collapsed="false">
      <c r="A26" s="33" t="s">
        <v>151</v>
      </c>
      <c r="B26" s="33" t="n">
        <v>44424</v>
      </c>
      <c r="C26" s="34" t="s">
        <v>108</v>
      </c>
      <c r="D26" s="35" t="s">
        <v>148</v>
      </c>
      <c r="E26" s="35" t="s">
        <v>28</v>
      </c>
      <c r="F26" s="36" t="s">
        <v>152</v>
      </c>
      <c r="G26" s="37" t="s">
        <v>150</v>
      </c>
      <c r="H26" s="35" t="s">
        <v>112</v>
      </c>
      <c r="I26" s="35" t="s">
        <v>112</v>
      </c>
      <c r="J26" s="38" t="n">
        <v>14.5</v>
      </c>
      <c r="K26" s="39" t="n">
        <v>1</v>
      </c>
      <c r="L26" s="39" t="n">
        <v>0</v>
      </c>
      <c r="M26" s="39" t="n">
        <v>0.636363636363636</v>
      </c>
      <c r="N26" s="39" t="n">
        <v>1</v>
      </c>
      <c r="O26" s="40" t="n">
        <v>0.659090909090909</v>
      </c>
      <c r="P26" s="41" t="n">
        <v>0.659090909090909</v>
      </c>
      <c r="Q26" s="42" t="n">
        <v>16</v>
      </c>
      <c r="R26" s="42" t="n">
        <v>4</v>
      </c>
      <c r="S26" s="42" t="n">
        <v>20</v>
      </c>
      <c r="T26" s="42" t="n">
        <v>7</v>
      </c>
      <c r="U26" s="43" t="n">
        <v>2</v>
      </c>
      <c r="V26" s="43" t="n">
        <v>2</v>
      </c>
      <c r="W26" s="44" t="n">
        <v>2</v>
      </c>
      <c r="X26" s="44" t="n">
        <v>3</v>
      </c>
      <c r="Y26" s="43" t="n">
        <v>0</v>
      </c>
      <c r="Z26" s="43" t="n">
        <v>0</v>
      </c>
      <c r="AA26" s="44" t="n">
        <v>0</v>
      </c>
      <c r="AB26" s="44" t="n">
        <v>0</v>
      </c>
      <c r="AC26" s="43" t="n">
        <v>0</v>
      </c>
      <c r="AD26" s="43" t="n">
        <v>0</v>
      </c>
      <c r="AE26" s="44" t="n">
        <v>0</v>
      </c>
      <c r="AF26" s="44" t="n">
        <v>0</v>
      </c>
      <c r="AG26" s="43" t="n">
        <v>4</v>
      </c>
      <c r="AH26" s="43" t="n">
        <v>0</v>
      </c>
      <c r="AI26" s="43" t="n">
        <v>0</v>
      </c>
      <c r="AJ26" s="44"/>
      <c r="AK26" s="43" t="n">
        <v>0</v>
      </c>
      <c r="AL26" s="43" t="n">
        <v>12</v>
      </c>
      <c r="AM26" s="45" t="n">
        <v>0.7</v>
      </c>
      <c r="AN26" s="45" t="n">
        <v>0.3</v>
      </c>
      <c r="AO26" s="45" t="n">
        <v>0.659090909090909</v>
      </c>
      <c r="AP26" s="46" t="n">
        <v>1200</v>
      </c>
      <c r="AQ26" s="46" t="n">
        <v>791</v>
      </c>
    </row>
    <row r="27" customFormat="false" ht="14.25" hidden="false" customHeight="false" outlineLevel="0" collapsed="false">
      <c r="A27" s="33" t="s">
        <v>153</v>
      </c>
      <c r="B27" s="33" t="n">
        <v>44655</v>
      </c>
      <c r="C27" s="34" t="s">
        <v>108</v>
      </c>
      <c r="D27" s="35" t="s">
        <v>148</v>
      </c>
      <c r="E27" s="35" t="s">
        <v>28</v>
      </c>
      <c r="F27" s="36" t="s">
        <v>149</v>
      </c>
      <c r="G27" s="37" t="s">
        <v>150</v>
      </c>
      <c r="H27" s="35" t="s">
        <v>112</v>
      </c>
      <c r="I27" s="35" t="s">
        <v>112</v>
      </c>
      <c r="J27" s="38" t="n">
        <v>10.5</v>
      </c>
      <c r="K27" s="39" t="n">
        <v>0.909090909090909</v>
      </c>
      <c r="L27" s="39" t="n">
        <v>0</v>
      </c>
      <c r="M27" s="39" t="n">
        <v>0</v>
      </c>
      <c r="N27" s="39" t="n">
        <v>1</v>
      </c>
      <c r="O27" s="40" t="n">
        <v>0.477272727272727</v>
      </c>
      <c r="P27" s="41" t="n">
        <v>0.477272727272727</v>
      </c>
      <c r="Q27" s="42" t="n">
        <v>11</v>
      </c>
      <c r="R27" s="42" t="n">
        <v>3</v>
      </c>
      <c r="S27" s="42" t="n">
        <v>14</v>
      </c>
      <c r="T27" s="42" t="n">
        <v>5</v>
      </c>
      <c r="U27" s="43" t="n">
        <v>2</v>
      </c>
      <c r="V27" s="43" t="n">
        <v>2</v>
      </c>
      <c r="W27" s="44" t="n">
        <v>0</v>
      </c>
      <c r="X27" s="44" t="n">
        <v>1</v>
      </c>
      <c r="Y27" s="43" t="n">
        <v>0</v>
      </c>
      <c r="Z27" s="43" t="n">
        <v>0</v>
      </c>
      <c r="AA27" s="44" t="n">
        <v>0</v>
      </c>
      <c r="AB27" s="44" t="n">
        <v>0</v>
      </c>
      <c r="AC27" s="43" t="n">
        <v>0</v>
      </c>
      <c r="AD27" s="43" t="n">
        <v>0</v>
      </c>
      <c r="AE27" s="44" t="n">
        <v>0</v>
      </c>
      <c r="AF27" s="44" t="n">
        <v>0</v>
      </c>
      <c r="AG27" s="43" t="n">
        <v>8</v>
      </c>
      <c r="AH27" s="43" t="n">
        <v>0</v>
      </c>
      <c r="AI27" s="43" t="n">
        <v>0</v>
      </c>
      <c r="AJ27" s="44"/>
      <c r="AK27" s="43" t="n">
        <v>0</v>
      </c>
      <c r="AL27" s="43" t="n">
        <v>9</v>
      </c>
      <c r="AM27" s="45" t="n">
        <v>0.7</v>
      </c>
      <c r="AN27" s="45" t="n">
        <v>0.3</v>
      </c>
      <c r="AO27" s="45" t="n">
        <v>0.477272727272727</v>
      </c>
      <c r="AP27" s="46" t="n">
        <v>1200</v>
      </c>
      <c r="AQ27" s="46" t="n">
        <v>573</v>
      </c>
    </row>
    <row r="28" customFormat="false" ht="14.25" hidden="false" customHeight="false" outlineLevel="0" collapsed="false">
      <c r="A28" s="33" t="s">
        <v>154</v>
      </c>
      <c r="B28" s="33" t="n">
        <v>45110</v>
      </c>
      <c r="C28" s="34" t="s">
        <v>108</v>
      </c>
      <c r="D28" s="35" t="s">
        <v>148</v>
      </c>
      <c r="E28" s="35" t="s">
        <v>28</v>
      </c>
      <c r="F28" s="36" t="s">
        <v>149</v>
      </c>
      <c r="G28" s="37" t="s">
        <v>150</v>
      </c>
      <c r="H28" s="35" t="s">
        <v>112</v>
      </c>
      <c r="I28" s="35" t="s">
        <v>112</v>
      </c>
      <c r="J28" s="38" t="n">
        <v>22</v>
      </c>
      <c r="K28" s="39" t="n">
        <v>1</v>
      </c>
      <c r="L28" s="39" t="n">
        <v>1</v>
      </c>
      <c r="M28" s="39" t="n">
        <v>1</v>
      </c>
      <c r="N28" s="39" t="n">
        <v>1</v>
      </c>
      <c r="O28" s="40" t="n">
        <v>1</v>
      </c>
      <c r="P28" s="41" t="n">
        <v>1</v>
      </c>
      <c r="Q28" s="42" t="n">
        <v>23</v>
      </c>
      <c r="R28" s="42" t="n">
        <v>7</v>
      </c>
      <c r="S28" s="42" t="n">
        <v>30</v>
      </c>
      <c r="T28" s="42" t="n">
        <v>10</v>
      </c>
      <c r="U28" s="43" t="n">
        <v>1</v>
      </c>
      <c r="V28" s="43" t="n">
        <v>1</v>
      </c>
      <c r="W28" s="44" t="n">
        <v>1</v>
      </c>
      <c r="X28" s="44" t="n">
        <v>1</v>
      </c>
      <c r="Y28" s="43" t="n">
        <v>1</v>
      </c>
      <c r="Z28" s="43" t="n">
        <v>0</v>
      </c>
      <c r="AA28" s="44" t="n">
        <v>1</v>
      </c>
      <c r="AB28" s="44" t="n">
        <v>1</v>
      </c>
      <c r="AC28" s="43" t="n">
        <v>1</v>
      </c>
      <c r="AD28" s="43" t="n">
        <v>0</v>
      </c>
      <c r="AE28" s="44" t="n">
        <v>1</v>
      </c>
      <c r="AF28" s="44" t="n">
        <v>1</v>
      </c>
      <c r="AG28" s="43" t="n">
        <v>2</v>
      </c>
      <c r="AH28" s="43" t="n">
        <v>5</v>
      </c>
      <c r="AI28" s="43" t="n">
        <v>2</v>
      </c>
      <c r="AJ28" s="44"/>
      <c r="AK28" s="43" t="n">
        <v>0</v>
      </c>
      <c r="AL28" s="43" t="n">
        <v>14</v>
      </c>
      <c r="AM28" s="45" t="n">
        <v>0.7</v>
      </c>
      <c r="AN28" s="45" t="n">
        <v>0.3</v>
      </c>
      <c r="AO28" s="45" t="n">
        <v>1</v>
      </c>
      <c r="AP28" s="46" t="n">
        <v>1200</v>
      </c>
      <c r="AQ28" s="46" t="n">
        <v>1200</v>
      </c>
    </row>
    <row r="29" customFormat="false" ht="14.25" hidden="false" customHeight="false" outlineLevel="0" collapsed="false">
      <c r="A29" s="33" t="s">
        <v>155</v>
      </c>
      <c r="B29" s="33" t="n">
        <v>45334</v>
      </c>
      <c r="C29" s="34" t="s">
        <v>108</v>
      </c>
      <c r="D29" s="35" t="s">
        <v>148</v>
      </c>
      <c r="E29" s="35" t="s">
        <v>28</v>
      </c>
      <c r="F29" s="36" t="s">
        <v>149</v>
      </c>
      <c r="G29" s="37" t="s">
        <v>150</v>
      </c>
      <c r="H29" s="35" t="s">
        <v>112</v>
      </c>
      <c r="I29" s="35" t="s">
        <v>112</v>
      </c>
      <c r="J29" s="38" t="n">
        <v>11</v>
      </c>
      <c r="K29" s="39" t="n">
        <v>1</v>
      </c>
      <c r="L29" s="39" t="n">
        <v>1</v>
      </c>
      <c r="M29" s="39" t="n">
        <v>0</v>
      </c>
      <c r="N29" s="39" t="n">
        <v>0</v>
      </c>
      <c r="O29" s="40" t="n">
        <v>0.5</v>
      </c>
      <c r="P29" s="41" t="n">
        <v>0.5</v>
      </c>
      <c r="Q29" s="42" t="n">
        <v>12</v>
      </c>
      <c r="R29" s="42" t="n">
        <v>3</v>
      </c>
      <c r="S29" s="42" t="n">
        <v>15</v>
      </c>
      <c r="T29" s="42" t="n">
        <v>6</v>
      </c>
      <c r="U29" s="43" t="n">
        <v>0</v>
      </c>
      <c r="V29" s="43" t="n">
        <v>0</v>
      </c>
      <c r="W29" s="44" t="n">
        <v>0</v>
      </c>
      <c r="X29" s="44" t="n">
        <v>0</v>
      </c>
      <c r="Y29" s="43" t="n">
        <v>0</v>
      </c>
      <c r="Z29" s="43" t="n">
        <v>0</v>
      </c>
      <c r="AA29" s="44" t="n">
        <v>0</v>
      </c>
      <c r="AB29" s="44" t="n">
        <v>0</v>
      </c>
      <c r="AC29" s="43" t="n">
        <v>0</v>
      </c>
      <c r="AD29" s="43" t="n">
        <v>1</v>
      </c>
      <c r="AE29" s="44" t="n">
        <v>0</v>
      </c>
      <c r="AF29" s="44" t="n">
        <v>0</v>
      </c>
      <c r="AG29" s="43" t="n">
        <v>3</v>
      </c>
      <c r="AH29" s="43" t="n">
        <v>6</v>
      </c>
      <c r="AI29" s="43" t="n">
        <v>0</v>
      </c>
      <c r="AJ29" s="44"/>
      <c r="AK29" s="43" t="n">
        <v>0</v>
      </c>
      <c r="AL29" s="43" t="n">
        <v>7</v>
      </c>
      <c r="AM29" s="45" t="n">
        <v>0.7</v>
      </c>
      <c r="AN29" s="45" t="n">
        <v>0.3</v>
      </c>
      <c r="AO29" s="45" t="n">
        <v>0.5</v>
      </c>
      <c r="AP29" s="46" t="n">
        <v>1200</v>
      </c>
      <c r="AQ29" s="46" t="n">
        <v>600</v>
      </c>
    </row>
    <row r="30" customFormat="false" ht="14.25" hidden="false" customHeight="false" outlineLevel="0" collapsed="false">
      <c r="A30" s="33" t="s">
        <v>156</v>
      </c>
      <c r="B30" s="33" t="n">
        <v>45033</v>
      </c>
      <c r="C30" s="34" t="s">
        <v>108</v>
      </c>
      <c r="D30" s="35" t="s">
        <v>148</v>
      </c>
      <c r="E30" s="35" t="s">
        <v>28</v>
      </c>
      <c r="F30" s="36" t="s">
        <v>152</v>
      </c>
      <c r="G30" s="37" t="s">
        <v>150</v>
      </c>
      <c r="H30" s="35" t="s">
        <v>112</v>
      </c>
      <c r="I30" s="35" t="s">
        <v>112</v>
      </c>
      <c r="J30" s="38" t="n">
        <v>22</v>
      </c>
      <c r="K30" s="39" t="n">
        <v>1</v>
      </c>
      <c r="L30" s="39" t="n">
        <v>1</v>
      </c>
      <c r="M30" s="39" t="n">
        <v>1</v>
      </c>
      <c r="N30" s="39" t="n">
        <v>1</v>
      </c>
      <c r="O30" s="40" t="n">
        <v>1</v>
      </c>
      <c r="P30" s="41" t="n">
        <v>1</v>
      </c>
      <c r="Q30" s="42" t="n">
        <v>23</v>
      </c>
      <c r="R30" s="42" t="n">
        <v>7</v>
      </c>
      <c r="S30" s="42" t="n">
        <v>30</v>
      </c>
      <c r="T30" s="42" t="n">
        <v>11</v>
      </c>
      <c r="U30" s="43" t="n">
        <v>2</v>
      </c>
      <c r="V30" s="43" t="n">
        <v>2</v>
      </c>
      <c r="W30" s="44" t="n">
        <v>2</v>
      </c>
      <c r="X30" s="44" t="n">
        <v>3</v>
      </c>
      <c r="Y30" s="43" t="n">
        <v>1</v>
      </c>
      <c r="Z30" s="43" t="n">
        <v>1</v>
      </c>
      <c r="AA30" s="44" t="n">
        <v>1</v>
      </c>
      <c r="AB30" s="44" t="n">
        <v>1</v>
      </c>
      <c r="AC30" s="43" t="n">
        <v>1</v>
      </c>
      <c r="AD30" s="43" t="n">
        <v>0</v>
      </c>
      <c r="AE30" s="44" t="n">
        <v>1</v>
      </c>
      <c r="AF30" s="44" t="n">
        <v>1</v>
      </c>
      <c r="AG30" s="43" t="n">
        <v>2</v>
      </c>
      <c r="AH30" s="43" t="n">
        <v>6</v>
      </c>
      <c r="AI30" s="43" t="n">
        <v>1</v>
      </c>
      <c r="AJ30" s="44"/>
      <c r="AK30" s="43" t="n">
        <v>0</v>
      </c>
      <c r="AL30" s="43" t="n">
        <v>20</v>
      </c>
      <c r="AM30" s="45" t="n">
        <v>0.7</v>
      </c>
      <c r="AN30" s="45" t="n">
        <v>0.3</v>
      </c>
      <c r="AO30" s="45" t="n">
        <v>1</v>
      </c>
      <c r="AP30" s="46" t="n">
        <v>1200</v>
      </c>
      <c r="AQ30" s="46" t="n">
        <v>1200</v>
      </c>
    </row>
    <row r="31" customFormat="false" ht="14.25" hidden="false" customHeight="false" outlineLevel="0" collapsed="false">
      <c r="A31" s="33" t="s">
        <v>157</v>
      </c>
      <c r="B31" s="33" t="n">
        <v>45809</v>
      </c>
      <c r="C31" s="34" t="s">
        <v>108</v>
      </c>
      <c r="D31" s="35" t="s">
        <v>148</v>
      </c>
      <c r="E31" s="35" t="s">
        <v>28</v>
      </c>
      <c r="F31" s="36" t="s">
        <v>152</v>
      </c>
      <c r="G31" s="37" t="s">
        <v>150</v>
      </c>
      <c r="H31" s="35" t="s">
        <v>112</v>
      </c>
      <c r="I31" s="35" t="s">
        <v>112</v>
      </c>
      <c r="J31" s="38" t="n">
        <v>22</v>
      </c>
      <c r="K31" s="39" t="n">
        <v>1</v>
      </c>
      <c r="L31" s="39" t="n">
        <v>1</v>
      </c>
      <c r="M31" s="39" t="n">
        <v>1</v>
      </c>
      <c r="N31" s="39" t="n">
        <v>1</v>
      </c>
      <c r="O31" s="40" t="n">
        <v>1</v>
      </c>
      <c r="P31" s="41" t="n">
        <v>1</v>
      </c>
      <c r="Q31" s="42" t="n">
        <v>23</v>
      </c>
      <c r="R31" s="42" t="n">
        <v>7</v>
      </c>
      <c r="S31" s="42" t="n">
        <v>30</v>
      </c>
      <c r="T31" s="42" t="n">
        <v>11</v>
      </c>
      <c r="U31" s="43" t="n">
        <v>1</v>
      </c>
      <c r="V31" s="43" t="n">
        <v>1</v>
      </c>
      <c r="W31" s="44" t="n">
        <v>1</v>
      </c>
      <c r="X31" s="44" t="n">
        <v>1</v>
      </c>
      <c r="Y31" s="43" t="n">
        <v>0</v>
      </c>
      <c r="Z31" s="43" t="n">
        <v>1</v>
      </c>
      <c r="AA31" s="44" t="n">
        <v>1</v>
      </c>
      <c r="AB31" s="44" t="n">
        <v>1</v>
      </c>
      <c r="AC31" s="43" t="n">
        <v>0</v>
      </c>
      <c r="AD31" s="43" t="n">
        <v>0</v>
      </c>
      <c r="AE31" s="44" t="n">
        <v>0</v>
      </c>
      <c r="AF31" s="44" t="n">
        <v>0</v>
      </c>
      <c r="AG31" s="43" t="n">
        <v>6</v>
      </c>
      <c r="AH31" s="43" t="n">
        <v>9</v>
      </c>
      <c r="AI31" s="43" t="n">
        <v>1</v>
      </c>
      <c r="AJ31" s="44"/>
      <c r="AK31" s="43" t="n">
        <v>1</v>
      </c>
      <c r="AL31" s="43" t="n">
        <v>21</v>
      </c>
      <c r="AM31" s="45" t="n">
        <v>0.7</v>
      </c>
      <c r="AN31" s="45" t="n">
        <v>0.3</v>
      </c>
      <c r="AO31" s="45" t="n">
        <v>1</v>
      </c>
      <c r="AP31" s="46" t="n">
        <v>1200</v>
      </c>
      <c r="AQ31" s="46" t="n">
        <v>1200</v>
      </c>
    </row>
    <row r="32" customFormat="false" ht="14.25" hidden="false" customHeight="false" outlineLevel="0" collapsed="false">
      <c r="A32" s="33" t="s">
        <v>158</v>
      </c>
      <c r="B32" s="33" t="n">
        <v>43375</v>
      </c>
      <c r="C32" s="34" t="s">
        <v>108</v>
      </c>
      <c r="D32" s="35" t="s">
        <v>148</v>
      </c>
      <c r="E32" s="35" t="s">
        <v>28</v>
      </c>
      <c r="F32" s="36" t="s">
        <v>149</v>
      </c>
      <c r="G32" s="37" t="s">
        <v>150</v>
      </c>
      <c r="H32" s="35" t="s">
        <v>112</v>
      </c>
      <c r="I32" s="35" t="s">
        <v>112</v>
      </c>
      <c r="J32" s="38" t="n">
        <v>22</v>
      </c>
      <c r="K32" s="39" t="n">
        <v>1</v>
      </c>
      <c r="L32" s="39" t="n">
        <v>1</v>
      </c>
      <c r="M32" s="39" t="n">
        <v>1</v>
      </c>
      <c r="N32" s="39" t="n">
        <v>1</v>
      </c>
      <c r="O32" s="40" t="n">
        <v>1</v>
      </c>
      <c r="P32" s="41" t="n">
        <v>1</v>
      </c>
      <c r="Q32" s="42" t="n">
        <v>23</v>
      </c>
      <c r="R32" s="42" t="n">
        <v>7</v>
      </c>
      <c r="S32" s="42" t="n">
        <v>30</v>
      </c>
      <c r="T32" s="42" t="n">
        <v>12</v>
      </c>
      <c r="U32" s="43" t="n">
        <v>0</v>
      </c>
      <c r="V32" s="43" t="n">
        <v>0</v>
      </c>
      <c r="W32" s="44" t="n">
        <v>0</v>
      </c>
      <c r="X32" s="44" t="n">
        <v>0</v>
      </c>
      <c r="Y32" s="43" t="n">
        <v>0</v>
      </c>
      <c r="Z32" s="43" t="n">
        <v>2</v>
      </c>
      <c r="AA32" s="44" t="n">
        <v>1</v>
      </c>
      <c r="AB32" s="44" t="n">
        <v>2</v>
      </c>
      <c r="AC32" s="43" t="n">
        <v>0</v>
      </c>
      <c r="AD32" s="43" t="n">
        <v>0</v>
      </c>
      <c r="AE32" s="44" t="n">
        <v>0</v>
      </c>
      <c r="AF32" s="44" t="n">
        <v>0</v>
      </c>
      <c r="AG32" s="43" t="n">
        <v>0</v>
      </c>
      <c r="AH32" s="43" t="n">
        <v>3</v>
      </c>
      <c r="AI32" s="43" t="n">
        <v>1</v>
      </c>
      <c r="AJ32" s="44"/>
      <c r="AK32" s="43" t="n">
        <v>1</v>
      </c>
      <c r="AL32" s="43" t="n">
        <v>6</v>
      </c>
      <c r="AM32" s="45" t="n">
        <v>0.7</v>
      </c>
      <c r="AN32" s="45" t="n">
        <v>0.3</v>
      </c>
      <c r="AO32" s="45" t="n">
        <v>1</v>
      </c>
      <c r="AP32" s="46" t="n">
        <v>1200</v>
      </c>
      <c r="AQ32" s="46" t="n">
        <v>1200</v>
      </c>
    </row>
    <row r="33" customFormat="false" ht="14.25" hidden="false" customHeight="false" outlineLevel="0" collapsed="false">
      <c r="A33" s="33" t="s">
        <v>159</v>
      </c>
      <c r="B33" s="33" t="n">
        <v>45425</v>
      </c>
      <c r="C33" s="34" t="s">
        <v>108</v>
      </c>
      <c r="D33" s="35" t="s">
        <v>148</v>
      </c>
      <c r="E33" s="35" t="s">
        <v>28</v>
      </c>
      <c r="F33" s="36" t="s">
        <v>152</v>
      </c>
      <c r="G33" s="37" t="s">
        <v>150</v>
      </c>
      <c r="H33" s="35" t="s">
        <v>112</v>
      </c>
      <c r="I33" s="35" t="s">
        <v>112</v>
      </c>
      <c r="J33" s="38" t="n">
        <v>9</v>
      </c>
      <c r="K33" s="39" t="n">
        <v>0</v>
      </c>
      <c r="L33" s="39" t="n">
        <v>0</v>
      </c>
      <c r="M33" s="39" t="n">
        <v>0.636363636363636</v>
      </c>
      <c r="N33" s="39" t="n">
        <v>1</v>
      </c>
      <c r="O33" s="40" t="n">
        <v>0.409090909090909</v>
      </c>
      <c r="P33" s="41" t="n">
        <v>0.409090909090909</v>
      </c>
      <c r="Q33" s="42" t="n">
        <v>9</v>
      </c>
      <c r="R33" s="42" t="n">
        <v>3</v>
      </c>
      <c r="S33" s="42" t="n">
        <v>12</v>
      </c>
      <c r="T33" s="42" t="n">
        <v>3</v>
      </c>
      <c r="U33" s="43" t="n">
        <v>5</v>
      </c>
      <c r="V33" s="43" t="n">
        <v>5</v>
      </c>
      <c r="W33" s="44" t="n">
        <v>4</v>
      </c>
      <c r="X33" s="44" t="n">
        <v>6</v>
      </c>
      <c r="Y33" s="43" t="n">
        <v>1</v>
      </c>
      <c r="Z33" s="43" t="n">
        <v>0</v>
      </c>
      <c r="AA33" s="44" t="n">
        <v>0</v>
      </c>
      <c r="AB33" s="44" t="n">
        <v>0</v>
      </c>
      <c r="AC33" s="43" t="n">
        <v>0</v>
      </c>
      <c r="AD33" s="43" t="n">
        <v>0</v>
      </c>
      <c r="AE33" s="44" t="n">
        <v>0</v>
      </c>
      <c r="AF33" s="44" t="n">
        <v>0</v>
      </c>
      <c r="AG33" s="43" t="n">
        <v>2</v>
      </c>
      <c r="AH33" s="43" t="n">
        <v>0</v>
      </c>
      <c r="AI33" s="43" t="n">
        <v>0</v>
      </c>
      <c r="AJ33" s="44"/>
      <c r="AK33" s="43" t="n">
        <v>0</v>
      </c>
      <c r="AL33" s="43" t="n">
        <v>23</v>
      </c>
      <c r="AM33" s="45" t="n">
        <v>0.7</v>
      </c>
      <c r="AN33" s="45" t="n">
        <v>0.3</v>
      </c>
      <c r="AO33" s="45" t="n">
        <v>0.409090909090909</v>
      </c>
      <c r="AP33" s="46" t="n">
        <v>1200</v>
      </c>
      <c r="AQ33" s="46" t="n">
        <v>491</v>
      </c>
    </row>
    <row r="34" customFormat="false" ht="14.25" hidden="false" customHeight="false" outlineLevel="0" collapsed="false">
      <c r="A34" s="33" t="s">
        <v>160</v>
      </c>
      <c r="B34" s="33" t="n">
        <v>44875</v>
      </c>
      <c r="C34" s="34" t="s">
        <v>108</v>
      </c>
      <c r="D34" s="35" t="s">
        <v>148</v>
      </c>
      <c r="E34" s="35" t="s">
        <v>24</v>
      </c>
      <c r="F34" s="36" t="s">
        <v>161</v>
      </c>
      <c r="G34" s="37" t="s">
        <v>162</v>
      </c>
      <c r="H34" s="35" t="s">
        <v>112</v>
      </c>
      <c r="I34" s="35" t="s">
        <v>112</v>
      </c>
      <c r="J34" s="38" t="n">
        <v>22</v>
      </c>
      <c r="K34" s="39" t="n">
        <v>1</v>
      </c>
      <c r="L34" s="39" t="n">
        <v>1</v>
      </c>
      <c r="M34" s="39" t="n">
        <v>1</v>
      </c>
      <c r="N34" s="39" t="n">
        <v>1</v>
      </c>
      <c r="O34" s="40" t="n">
        <v>1</v>
      </c>
      <c r="P34" s="41" t="n">
        <v>1</v>
      </c>
      <c r="Q34" s="42" t="n">
        <v>12</v>
      </c>
      <c r="R34" s="42" t="n">
        <v>4</v>
      </c>
      <c r="S34" s="42" t="n">
        <v>16</v>
      </c>
      <c r="T34" s="42" t="n">
        <v>6</v>
      </c>
      <c r="U34" s="43" t="n">
        <v>2</v>
      </c>
      <c r="V34" s="43" t="n">
        <v>2</v>
      </c>
      <c r="W34" s="44" t="n">
        <v>2</v>
      </c>
      <c r="X34" s="44" t="n">
        <v>3</v>
      </c>
      <c r="Y34" s="43" t="n">
        <v>0</v>
      </c>
      <c r="Z34" s="43" t="n">
        <v>0</v>
      </c>
      <c r="AA34" s="44" t="n">
        <v>0</v>
      </c>
      <c r="AB34" s="44" t="n">
        <v>0</v>
      </c>
      <c r="AC34" s="43" t="n">
        <v>1</v>
      </c>
      <c r="AD34" s="43" t="n">
        <v>1</v>
      </c>
      <c r="AE34" s="44" t="n">
        <v>1</v>
      </c>
      <c r="AF34" s="44" t="n">
        <v>2</v>
      </c>
      <c r="AG34" s="43" t="n">
        <v>4</v>
      </c>
      <c r="AH34" s="43" t="n">
        <v>5</v>
      </c>
      <c r="AI34" s="43" t="n">
        <v>1</v>
      </c>
      <c r="AJ34" s="44"/>
      <c r="AK34" s="43" t="n">
        <v>0</v>
      </c>
      <c r="AL34" s="43" t="n">
        <v>16</v>
      </c>
      <c r="AM34" s="45" t="n">
        <v>0.7</v>
      </c>
      <c r="AN34" s="45" t="n">
        <v>0.3</v>
      </c>
      <c r="AO34" s="45" t="n">
        <v>1</v>
      </c>
      <c r="AP34" s="46" t="n">
        <v>1200</v>
      </c>
      <c r="AQ34" s="46" t="n">
        <v>1200</v>
      </c>
    </row>
    <row r="35" customFormat="false" ht="14.25" hidden="false" customHeight="false" outlineLevel="0" collapsed="false">
      <c r="A35" s="33" t="s">
        <v>163</v>
      </c>
      <c r="B35" s="33" t="n">
        <v>44487</v>
      </c>
      <c r="C35" s="34" t="s">
        <v>108</v>
      </c>
      <c r="D35" s="35" t="s">
        <v>148</v>
      </c>
      <c r="E35" s="35" t="s">
        <v>24</v>
      </c>
      <c r="F35" s="36" t="s">
        <v>161</v>
      </c>
      <c r="G35" s="37" t="s">
        <v>162</v>
      </c>
      <c r="H35" s="35" t="s">
        <v>112</v>
      </c>
      <c r="I35" s="35" t="s">
        <v>112</v>
      </c>
      <c r="J35" s="38" t="n">
        <v>10</v>
      </c>
      <c r="K35" s="39" t="n">
        <v>0</v>
      </c>
      <c r="L35" s="39" t="n">
        <v>0</v>
      </c>
      <c r="M35" s="39" t="n">
        <v>0.818181818181818</v>
      </c>
      <c r="N35" s="39" t="n">
        <v>1</v>
      </c>
      <c r="O35" s="40" t="n">
        <v>0.454545454545455</v>
      </c>
      <c r="P35" s="41" t="n">
        <v>0.454545454545455</v>
      </c>
      <c r="Q35" s="42" t="n">
        <v>5</v>
      </c>
      <c r="R35" s="42" t="n">
        <v>2</v>
      </c>
      <c r="S35" s="42" t="n">
        <v>7</v>
      </c>
      <c r="T35" s="42" t="n">
        <v>3</v>
      </c>
      <c r="U35" s="43" t="n">
        <v>0</v>
      </c>
      <c r="V35" s="43" t="n">
        <v>0</v>
      </c>
      <c r="W35" s="44" t="n">
        <v>0</v>
      </c>
      <c r="X35" s="44" t="n">
        <v>0</v>
      </c>
      <c r="Y35" s="43" t="n">
        <v>0</v>
      </c>
      <c r="Z35" s="43" t="n">
        <v>0</v>
      </c>
      <c r="AA35" s="44" t="n">
        <v>0</v>
      </c>
      <c r="AB35" s="44" t="n">
        <v>0</v>
      </c>
      <c r="AC35" s="43" t="n">
        <v>0</v>
      </c>
      <c r="AD35" s="43" t="n">
        <v>0</v>
      </c>
      <c r="AE35" s="44" t="n">
        <v>0</v>
      </c>
      <c r="AF35" s="44" t="n">
        <v>0</v>
      </c>
      <c r="AG35" s="43" t="n">
        <v>1</v>
      </c>
      <c r="AH35" s="43" t="n">
        <v>0</v>
      </c>
      <c r="AI35" s="43" t="n">
        <v>0</v>
      </c>
      <c r="AJ35" s="44"/>
      <c r="AK35" s="43" t="n">
        <v>0</v>
      </c>
      <c r="AL35" s="43" t="n">
        <v>0</v>
      </c>
      <c r="AM35" s="45" t="n">
        <v>0.7</v>
      </c>
      <c r="AN35" s="45" t="n">
        <v>0.3</v>
      </c>
      <c r="AO35" s="45" t="n">
        <v>0.454545454545455</v>
      </c>
      <c r="AP35" s="46" t="n">
        <v>1200</v>
      </c>
      <c r="AQ35" s="46" t="n">
        <v>545</v>
      </c>
    </row>
    <row r="36" customFormat="false" ht="14.25" hidden="false" customHeight="false" outlineLevel="0" collapsed="false">
      <c r="A36" s="33" t="s">
        <v>164</v>
      </c>
      <c r="B36" s="33" t="n">
        <v>45222</v>
      </c>
      <c r="C36" s="34" t="s">
        <v>108</v>
      </c>
      <c r="D36" s="35" t="s">
        <v>148</v>
      </c>
      <c r="E36" s="35" t="s">
        <v>24</v>
      </c>
      <c r="F36" s="36" t="s">
        <v>161</v>
      </c>
      <c r="G36" s="37" t="s">
        <v>162</v>
      </c>
      <c r="H36" s="35" t="s">
        <v>112</v>
      </c>
      <c r="I36" s="35" t="s">
        <v>112</v>
      </c>
      <c r="J36" s="38" t="n">
        <v>22</v>
      </c>
      <c r="K36" s="39" t="n">
        <v>1</v>
      </c>
      <c r="L36" s="39" t="n">
        <v>1</v>
      </c>
      <c r="M36" s="39" t="n">
        <v>1</v>
      </c>
      <c r="N36" s="39" t="n">
        <v>1</v>
      </c>
      <c r="O36" s="40" t="n">
        <v>1</v>
      </c>
      <c r="P36" s="41" t="n">
        <v>1</v>
      </c>
      <c r="Q36" s="42" t="n">
        <v>12</v>
      </c>
      <c r="R36" s="42" t="n">
        <v>4</v>
      </c>
      <c r="S36" s="42" t="n">
        <v>16</v>
      </c>
      <c r="T36" s="42" t="n">
        <v>6</v>
      </c>
      <c r="U36" s="43" t="n">
        <v>0</v>
      </c>
      <c r="V36" s="43" t="n">
        <v>0</v>
      </c>
      <c r="W36" s="44" t="n">
        <v>0</v>
      </c>
      <c r="X36" s="44" t="n">
        <v>0</v>
      </c>
      <c r="Y36" s="43" t="n">
        <v>0</v>
      </c>
      <c r="Z36" s="43" t="n">
        <v>1</v>
      </c>
      <c r="AA36" s="44" t="n">
        <v>1</v>
      </c>
      <c r="AB36" s="44" t="n">
        <v>1</v>
      </c>
      <c r="AC36" s="43" t="n">
        <v>0</v>
      </c>
      <c r="AD36" s="43" t="n">
        <v>0</v>
      </c>
      <c r="AE36" s="44" t="n">
        <v>0</v>
      </c>
      <c r="AF36" s="44" t="n">
        <v>0</v>
      </c>
      <c r="AG36" s="43" t="n">
        <v>1</v>
      </c>
      <c r="AH36" s="43" t="n">
        <v>2</v>
      </c>
      <c r="AI36" s="43" t="n">
        <v>0</v>
      </c>
      <c r="AJ36" s="44"/>
      <c r="AK36" s="43" t="n">
        <v>2</v>
      </c>
      <c r="AL36" s="43" t="n">
        <v>7</v>
      </c>
      <c r="AM36" s="45" t="n">
        <v>0.7</v>
      </c>
      <c r="AN36" s="45" t="n">
        <v>0.3</v>
      </c>
      <c r="AO36" s="45" t="n">
        <v>1</v>
      </c>
      <c r="AP36" s="46" t="n">
        <v>1200</v>
      </c>
      <c r="AQ36" s="46" t="n">
        <v>1200</v>
      </c>
    </row>
    <row r="37" customFormat="false" ht="14.25" hidden="false" customHeight="false" outlineLevel="0" collapsed="false">
      <c r="A37" s="33" t="s">
        <v>165</v>
      </c>
      <c r="B37" s="33" t="n">
        <v>44867</v>
      </c>
      <c r="C37" s="34" t="s">
        <v>108</v>
      </c>
      <c r="D37" s="35" t="s">
        <v>148</v>
      </c>
      <c r="E37" s="35" t="s">
        <v>24</v>
      </c>
      <c r="F37" s="36" t="s">
        <v>161</v>
      </c>
      <c r="G37" s="37" t="s">
        <v>162</v>
      </c>
      <c r="H37" s="35" t="s">
        <v>112</v>
      </c>
      <c r="I37" s="35" t="s">
        <v>112</v>
      </c>
      <c r="J37" s="38" t="n">
        <v>22</v>
      </c>
      <c r="K37" s="39" t="n">
        <v>1</v>
      </c>
      <c r="L37" s="39" t="n">
        <v>1</v>
      </c>
      <c r="M37" s="39" t="n">
        <v>1</v>
      </c>
      <c r="N37" s="39" t="n">
        <v>1</v>
      </c>
      <c r="O37" s="40" t="n">
        <v>1</v>
      </c>
      <c r="P37" s="41" t="n">
        <v>1</v>
      </c>
      <c r="Q37" s="42" t="n">
        <v>12</v>
      </c>
      <c r="R37" s="42" t="n">
        <v>4</v>
      </c>
      <c r="S37" s="42" t="n">
        <v>16</v>
      </c>
      <c r="T37" s="42" t="n">
        <v>6</v>
      </c>
      <c r="U37" s="43" t="n">
        <v>3</v>
      </c>
      <c r="V37" s="43" t="n">
        <v>3</v>
      </c>
      <c r="W37" s="44" t="n">
        <v>4</v>
      </c>
      <c r="X37" s="44" t="n">
        <v>5</v>
      </c>
      <c r="Y37" s="43" t="n">
        <v>0</v>
      </c>
      <c r="Z37" s="43" t="n">
        <v>0</v>
      </c>
      <c r="AA37" s="44" t="n">
        <v>0</v>
      </c>
      <c r="AB37" s="44" t="n">
        <v>0</v>
      </c>
      <c r="AC37" s="43" t="n">
        <v>1</v>
      </c>
      <c r="AD37" s="43" t="n">
        <v>0</v>
      </c>
      <c r="AE37" s="44" t="n">
        <v>1</v>
      </c>
      <c r="AF37" s="44" t="n">
        <v>1</v>
      </c>
      <c r="AG37" s="43" t="n">
        <v>4</v>
      </c>
      <c r="AH37" s="43" t="n">
        <v>1</v>
      </c>
      <c r="AI37" s="43" t="n">
        <v>1</v>
      </c>
      <c r="AJ37" s="44"/>
      <c r="AK37" s="43" t="n">
        <v>0</v>
      </c>
      <c r="AL37" s="43" t="n">
        <v>21</v>
      </c>
      <c r="AM37" s="45" t="n">
        <v>0.7</v>
      </c>
      <c r="AN37" s="45" t="n">
        <v>0.3</v>
      </c>
      <c r="AO37" s="45" t="n">
        <v>1</v>
      </c>
      <c r="AP37" s="46" t="n">
        <v>1200</v>
      </c>
      <c r="AQ37" s="46" t="n">
        <v>1200</v>
      </c>
    </row>
    <row r="38" customFormat="false" ht="14.25" hidden="false" customHeight="false" outlineLevel="0" collapsed="false">
      <c r="A38" s="33" t="s">
        <v>166</v>
      </c>
      <c r="B38" s="33" t="n">
        <v>45901</v>
      </c>
      <c r="C38" s="34" t="s">
        <v>167</v>
      </c>
      <c r="D38" s="35" t="s">
        <v>148</v>
      </c>
      <c r="E38" s="35" t="s">
        <v>24</v>
      </c>
      <c r="F38" s="36" t="s">
        <v>161</v>
      </c>
      <c r="G38" s="37" t="s">
        <v>162</v>
      </c>
      <c r="H38" s="35" t="s">
        <v>112</v>
      </c>
      <c r="I38" s="35" t="s">
        <v>112</v>
      </c>
      <c r="J38" s="38" t="n">
        <v>22</v>
      </c>
      <c r="K38" s="39" t="n">
        <v>1</v>
      </c>
      <c r="L38" s="39" t="n">
        <v>1</v>
      </c>
      <c r="M38" s="39" t="n">
        <v>1</v>
      </c>
      <c r="N38" s="39" t="n">
        <v>1</v>
      </c>
      <c r="O38" s="40" t="n">
        <v>1</v>
      </c>
      <c r="P38" s="41" t="n">
        <v>1</v>
      </c>
      <c r="Q38" s="42" t="n">
        <v>12</v>
      </c>
      <c r="R38" s="42" t="n">
        <v>4</v>
      </c>
      <c r="S38" s="42" t="n">
        <v>16</v>
      </c>
      <c r="T38" s="42" t="n">
        <v>7</v>
      </c>
      <c r="U38" s="43" t="n">
        <v>2</v>
      </c>
      <c r="V38" s="43" t="n">
        <v>2</v>
      </c>
      <c r="W38" s="44" t="n">
        <v>2</v>
      </c>
      <c r="X38" s="44" t="n">
        <v>3</v>
      </c>
      <c r="Y38" s="43" t="n">
        <v>0</v>
      </c>
      <c r="Z38" s="43" t="n">
        <v>1</v>
      </c>
      <c r="AA38" s="44" t="n">
        <v>1</v>
      </c>
      <c r="AB38" s="44" t="n">
        <v>1</v>
      </c>
      <c r="AC38" s="43" t="n">
        <v>1</v>
      </c>
      <c r="AD38" s="43" t="n">
        <v>0</v>
      </c>
      <c r="AE38" s="44" t="n">
        <v>1</v>
      </c>
      <c r="AF38" s="44" t="n">
        <v>1</v>
      </c>
      <c r="AG38" s="43" t="n">
        <v>2</v>
      </c>
      <c r="AH38" s="43" t="n">
        <v>0</v>
      </c>
      <c r="AI38" s="43" t="n">
        <v>1</v>
      </c>
      <c r="AJ38" s="44"/>
      <c r="AK38" s="43" t="n">
        <v>0</v>
      </c>
      <c r="AL38" s="43" t="n">
        <v>16</v>
      </c>
      <c r="AM38" s="45" t="n">
        <v>0.7</v>
      </c>
      <c r="AN38" s="45" t="n">
        <v>0.3</v>
      </c>
      <c r="AO38" s="45" t="n">
        <v>1</v>
      </c>
      <c r="AP38" s="46" t="n">
        <v>1200</v>
      </c>
      <c r="AQ38" s="46" t="n">
        <v>1200</v>
      </c>
    </row>
    <row r="39" customFormat="false" ht="14.25" hidden="false" customHeight="false" outlineLevel="0" collapsed="false">
      <c r="A39" s="33" t="s">
        <v>168</v>
      </c>
      <c r="B39" s="33" t="n">
        <v>44809</v>
      </c>
      <c r="C39" s="34" t="s">
        <v>108</v>
      </c>
      <c r="D39" s="35" t="s">
        <v>148</v>
      </c>
      <c r="E39" s="35" t="s">
        <v>24</v>
      </c>
      <c r="F39" s="36" t="s">
        <v>161</v>
      </c>
      <c r="G39" s="37" t="s">
        <v>162</v>
      </c>
      <c r="H39" s="35" t="s">
        <v>112</v>
      </c>
      <c r="I39" s="35" t="s">
        <v>112</v>
      </c>
      <c r="J39" s="38" t="n">
        <v>22</v>
      </c>
      <c r="K39" s="39" t="n">
        <v>1</v>
      </c>
      <c r="L39" s="39" t="n">
        <v>1</v>
      </c>
      <c r="M39" s="39" t="n">
        <v>1</v>
      </c>
      <c r="N39" s="39" t="n">
        <v>1</v>
      </c>
      <c r="O39" s="40" t="n">
        <v>1</v>
      </c>
      <c r="P39" s="41" t="n">
        <v>1</v>
      </c>
      <c r="Q39" s="42" t="n">
        <v>12</v>
      </c>
      <c r="R39" s="42" t="n">
        <v>4</v>
      </c>
      <c r="S39" s="42" t="n">
        <v>16</v>
      </c>
      <c r="T39" s="42" t="n">
        <v>4</v>
      </c>
      <c r="U39" s="43" t="n">
        <v>1</v>
      </c>
      <c r="V39" s="43" t="n">
        <v>1</v>
      </c>
      <c r="W39" s="44" t="n">
        <v>1</v>
      </c>
      <c r="X39" s="44" t="n">
        <v>1</v>
      </c>
      <c r="Y39" s="43" t="n">
        <v>0</v>
      </c>
      <c r="Z39" s="43" t="n">
        <v>0</v>
      </c>
      <c r="AA39" s="44" t="n">
        <v>0</v>
      </c>
      <c r="AB39" s="44" t="n">
        <v>0</v>
      </c>
      <c r="AC39" s="43" t="n">
        <v>0</v>
      </c>
      <c r="AD39" s="43" t="n">
        <v>0</v>
      </c>
      <c r="AE39" s="44" t="n">
        <v>0</v>
      </c>
      <c r="AF39" s="44" t="n">
        <v>0</v>
      </c>
      <c r="AG39" s="43" t="n">
        <v>2</v>
      </c>
      <c r="AH39" s="43" t="n">
        <v>5</v>
      </c>
      <c r="AI39" s="43" t="n">
        <v>1</v>
      </c>
      <c r="AJ39" s="44"/>
      <c r="AK39" s="43" t="n">
        <v>0</v>
      </c>
      <c r="AL39" s="43" t="n">
        <v>6</v>
      </c>
      <c r="AM39" s="45" t="n">
        <v>0.7</v>
      </c>
      <c r="AN39" s="45" t="n">
        <v>0.3</v>
      </c>
      <c r="AO39" s="45" t="n">
        <v>1</v>
      </c>
      <c r="AP39" s="46" t="n">
        <v>1200</v>
      </c>
      <c r="AQ39" s="46" t="n">
        <v>1200</v>
      </c>
    </row>
    <row r="40" customFormat="false" ht="14.25" hidden="false" customHeight="false" outlineLevel="0" collapsed="false">
      <c r="A40" s="33" t="s">
        <v>169</v>
      </c>
      <c r="B40" s="33" t="n">
        <v>46054</v>
      </c>
      <c r="C40" s="34" t="s">
        <v>134</v>
      </c>
      <c r="D40" s="35" t="s">
        <v>148</v>
      </c>
      <c r="E40" s="35" t="s">
        <v>24</v>
      </c>
      <c r="F40" s="36" t="s">
        <v>161</v>
      </c>
      <c r="G40" s="37" t="s">
        <v>162</v>
      </c>
      <c r="H40" s="35" t="s">
        <v>112</v>
      </c>
      <c r="I40" s="35" t="s">
        <v>112</v>
      </c>
      <c r="J40" s="38" t="n">
        <v>22</v>
      </c>
      <c r="K40" s="39" t="n">
        <v>1</v>
      </c>
      <c r="L40" s="39" t="n">
        <v>1</v>
      </c>
      <c r="M40" s="39" t="n">
        <v>1</v>
      </c>
      <c r="N40" s="39" t="n">
        <v>1</v>
      </c>
      <c r="O40" s="40" t="n">
        <v>1</v>
      </c>
      <c r="P40" s="41" t="n">
        <v>1</v>
      </c>
      <c r="Q40" s="42" t="n">
        <v>12</v>
      </c>
      <c r="R40" s="42" t="n">
        <v>4</v>
      </c>
      <c r="S40" s="42" t="n">
        <v>16</v>
      </c>
      <c r="T40" s="42" t="n">
        <v>4</v>
      </c>
      <c r="U40" s="43" t="n">
        <v>1</v>
      </c>
      <c r="V40" s="43" t="n">
        <v>1</v>
      </c>
      <c r="W40" s="44" t="n">
        <v>1</v>
      </c>
      <c r="X40" s="44" t="n">
        <v>1</v>
      </c>
      <c r="Y40" s="43" t="n">
        <v>0</v>
      </c>
      <c r="Z40" s="43" t="n">
        <v>1</v>
      </c>
      <c r="AA40" s="44" t="n">
        <v>1</v>
      </c>
      <c r="AB40" s="44" t="n">
        <v>1</v>
      </c>
      <c r="AC40" s="43" t="n">
        <v>0</v>
      </c>
      <c r="AD40" s="43" t="n">
        <v>1</v>
      </c>
      <c r="AE40" s="44" t="n">
        <v>1</v>
      </c>
      <c r="AF40" s="44" t="n">
        <v>2</v>
      </c>
      <c r="AG40" s="43" t="n">
        <v>3</v>
      </c>
      <c r="AH40" s="43" t="n">
        <v>2</v>
      </c>
      <c r="AI40" s="43" t="n">
        <v>0</v>
      </c>
      <c r="AJ40" s="44"/>
      <c r="AK40" s="43" t="n">
        <v>0</v>
      </c>
      <c r="AL40" s="43" t="n">
        <v>16</v>
      </c>
      <c r="AM40" s="45" t="n">
        <v>0.7</v>
      </c>
      <c r="AN40" s="45" t="n">
        <v>0.3</v>
      </c>
      <c r="AO40" s="45" t="n">
        <v>1</v>
      </c>
      <c r="AP40" s="46" t="n">
        <v>1200</v>
      </c>
      <c r="AQ40" s="46" t="n">
        <v>1200</v>
      </c>
    </row>
    <row r="41" customFormat="false" ht="14.25" hidden="false" customHeight="false" outlineLevel="0" collapsed="false">
      <c r="A41" s="33" t="s">
        <v>170</v>
      </c>
      <c r="B41" s="33" t="n">
        <v>45973</v>
      </c>
      <c r="C41" s="34" t="s">
        <v>171</v>
      </c>
      <c r="D41" s="35" t="s">
        <v>148</v>
      </c>
      <c r="E41" s="35" t="s">
        <v>24</v>
      </c>
      <c r="F41" s="36" t="s">
        <v>161</v>
      </c>
      <c r="G41" s="37" t="s">
        <v>162</v>
      </c>
      <c r="H41" s="35" t="s">
        <v>112</v>
      </c>
      <c r="I41" s="35" t="s">
        <v>112</v>
      </c>
      <c r="J41" s="38" t="n">
        <v>22</v>
      </c>
      <c r="K41" s="39" t="n">
        <v>1</v>
      </c>
      <c r="L41" s="39" t="n">
        <v>1</v>
      </c>
      <c r="M41" s="39" t="n">
        <v>1</v>
      </c>
      <c r="N41" s="39" t="n">
        <v>1</v>
      </c>
      <c r="O41" s="40" t="n">
        <v>1</v>
      </c>
      <c r="P41" s="41" t="n">
        <v>1</v>
      </c>
      <c r="Q41" s="42" t="n">
        <v>12</v>
      </c>
      <c r="R41" s="42" t="n">
        <v>4</v>
      </c>
      <c r="S41" s="42" t="n">
        <v>16</v>
      </c>
      <c r="T41" s="42" t="n">
        <v>5</v>
      </c>
      <c r="U41" s="43" t="n">
        <v>0</v>
      </c>
      <c r="V41" s="43" t="n">
        <v>0</v>
      </c>
      <c r="W41" s="44" t="n">
        <v>0</v>
      </c>
      <c r="X41" s="44" t="n">
        <v>0</v>
      </c>
      <c r="Y41" s="43" t="n">
        <v>0</v>
      </c>
      <c r="Z41" s="43" t="n">
        <v>0</v>
      </c>
      <c r="AA41" s="44" t="n">
        <v>0</v>
      </c>
      <c r="AB41" s="44" t="n">
        <v>0</v>
      </c>
      <c r="AC41" s="43" t="n">
        <v>0</v>
      </c>
      <c r="AD41" s="43" t="n">
        <v>0</v>
      </c>
      <c r="AE41" s="44" t="n">
        <v>0</v>
      </c>
      <c r="AF41" s="44" t="n">
        <v>0</v>
      </c>
      <c r="AG41" s="43" t="n">
        <v>3</v>
      </c>
      <c r="AH41" s="43" t="n">
        <v>2</v>
      </c>
      <c r="AI41" s="43" t="n">
        <v>1</v>
      </c>
      <c r="AJ41" s="44"/>
      <c r="AK41" s="43" t="n">
        <v>0</v>
      </c>
      <c r="AL41" s="43" t="n">
        <v>4</v>
      </c>
      <c r="AM41" s="45" t="n">
        <v>0.7</v>
      </c>
      <c r="AN41" s="45" t="n">
        <v>0.3</v>
      </c>
      <c r="AO41" s="45" t="n">
        <v>1</v>
      </c>
      <c r="AP41" s="46" t="n">
        <v>1200</v>
      </c>
      <c r="AQ41" s="46" t="n">
        <v>1200</v>
      </c>
    </row>
    <row r="42" customFormat="false" ht="14.25" hidden="false" customHeight="false" outlineLevel="0" collapsed="false">
      <c r="A42" s="33" t="s">
        <v>172</v>
      </c>
      <c r="B42" s="33" t="n">
        <v>46027</v>
      </c>
      <c r="C42" s="34" t="s">
        <v>173</v>
      </c>
      <c r="D42" s="35" t="s">
        <v>148</v>
      </c>
      <c r="E42" s="35" t="s">
        <v>24</v>
      </c>
      <c r="F42" s="36" t="s">
        <v>161</v>
      </c>
      <c r="G42" s="37" t="s">
        <v>162</v>
      </c>
      <c r="H42" s="35" t="s">
        <v>112</v>
      </c>
      <c r="I42" s="35" t="s">
        <v>112</v>
      </c>
      <c r="J42" s="38" t="n">
        <v>22</v>
      </c>
      <c r="K42" s="39" t="n">
        <v>1</v>
      </c>
      <c r="L42" s="39" t="n">
        <v>1</v>
      </c>
      <c r="M42" s="39" t="n">
        <v>1</v>
      </c>
      <c r="N42" s="39" t="n">
        <v>1</v>
      </c>
      <c r="O42" s="40" t="n">
        <v>1</v>
      </c>
      <c r="P42" s="41" t="n">
        <v>1</v>
      </c>
      <c r="Q42" s="42" t="n">
        <v>12</v>
      </c>
      <c r="R42" s="42" t="n">
        <v>4</v>
      </c>
      <c r="S42" s="42" t="n">
        <v>16</v>
      </c>
      <c r="T42" s="42" t="n">
        <v>6</v>
      </c>
      <c r="U42" s="43" t="n">
        <v>0</v>
      </c>
      <c r="V42" s="43" t="n">
        <v>0</v>
      </c>
      <c r="W42" s="44" t="n">
        <v>0</v>
      </c>
      <c r="X42" s="44" t="n">
        <v>0</v>
      </c>
      <c r="Y42" s="43" t="n">
        <v>0</v>
      </c>
      <c r="Z42" s="43" t="n">
        <v>0</v>
      </c>
      <c r="AA42" s="44" t="n">
        <v>0</v>
      </c>
      <c r="AB42" s="44" t="n">
        <v>0</v>
      </c>
      <c r="AC42" s="43" t="n">
        <v>1</v>
      </c>
      <c r="AD42" s="43" t="n">
        <v>1</v>
      </c>
      <c r="AE42" s="44" t="n">
        <v>1</v>
      </c>
      <c r="AF42" s="44" t="n">
        <v>2</v>
      </c>
      <c r="AG42" s="43" t="n">
        <v>5</v>
      </c>
      <c r="AH42" s="43" t="n">
        <v>4</v>
      </c>
      <c r="AI42" s="43" t="n">
        <v>0</v>
      </c>
      <c r="AJ42" s="44"/>
      <c r="AK42" s="43" t="n">
        <v>0</v>
      </c>
      <c r="AL42" s="43" t="n">
        <v>9</v>
      </c>
      <c r="AM42" s="45" t="n">
        <v>0.7</v>
      </c>
      <c r="AN42" s="45" t="n">
        <v>0.3</v>
      </c>
      <c r="AO42" s="45" t="n">
        <v>1</v>
      </c>
      <c r="AP42" s="46" t="n">
        <v>1200</v>
      </c>
      <c r="AQ42" s="46" t="n">
        <v>1200</v>
      </c>
    </row>
    <row r="43" customFormat="false" ht="14.25" hidden="false" customHeight="false" outlineLevel="0" collapsed="false">
      <c r="A43" s="33" t="s">
        <v>174</v>
      </c>
      <c r="B43" s="33" t="n">
        <v>46054</v>
      </c>
      <c r="C43" s="34" t="s">
        <v>134</v>
      </c>
      <c r="D43" s="35" t="s">
        <v>148</v>
      </c>
      <c r="E43" s="35" t="s">
        <v>24</v>
      </c>
      <c r="F43" s="36" t="s">
        <v>161</v>
      </c>
      <c r="G43" s="37" t="s">
        <v>162</v>
      </c>
      <c r="H43" s="35" t="s">
        <v>112</v>
      </c>
      <c r="I43" s="35" t="s">
        <v>112</v>
      </c>
      <c r="J43" s="38" t="n">
        <v>22</v>
      </c>
      <c r="K43" s="39" t="n">
        <v>1</v>
      </c>
      <c r="L43" s="39" t="n">
        <v>1</v>
      </c>
      <c r="M43" s="39" t="n">
        <v>1</v>
      </c>
      <c r="N43" s="39" t="n">
        <v>1</v>
      </c>
      <c r="O43" s="40" t="n">
        <v>1</v>
      </c>
      <c r="P43" s="41" t="n">
        <v>1</v>
      </c>
      <c r="Q43" s="42" t="n">
        <v>12</v>
      </c>
      <c r="R43" s="42" t="n">
        <v>4</v>
      </c>
      <c r="S43" s="42" t="n">
        <v>16</v>
      </c>
      <c r="T43" s="42" t="n">
        <v>5</v>
      </c>
      <c r="U43" s="43" t="n">
        <v>1</v>
      </c>
      <c r="V43" s="43" t="n">
        <v>1</v>
      </c>
      <c r="W43" s="44" t="n">
        <v>1</v>
      </c>
      <c r="X43" s="44" t="n">
        <v>1</v>
      </c>
      <c r="Y43" s="43" t="n">
        <v>1</v>
      </c>
      <c r="Z43" s="43" t="n">
        <v>0</v>
      </c>
      <c r="AA43" s="44" t="n">
        <v>1</v>
      </c>
      <c r="AB43" s="44" t="n">
        <v>1</v>
      </c>
      <c r="AC43" s="43" t="n">
        <v>0</v>
      </c>
      <c r="AD43" s="43" t="n">
        <v>0</v>
      </c>
      <c r="AE43" s="44" t="n">
        <v>0</v>
      </c>
      <c r="AF43" s="44" t="n">
        <v>0</v>
      </c>
      <c r="AG43" s="43" t="n">
        <v>5</v>
      </c>
      <c r="AH43" s="43" t="n">
        <v>2</v>
      </c>
      <c r="AI43" s="43" t="n">
        <v>0</v>
      </c>
      <c r="AJ43" s="44"/>
      <c r="AK43" s="43" t="n">
        <v>0</v>
      </c>
      <c r="AL43" s="43" t="n">
        <v>8</v>
      </c>
      <c r="AM43" s="45" t="n">
        <v>0.7</v>
      </c>
      <c r="AN43" s="45" t="n">
        <v>0.3</v>
      </c>
      <c r="AO43" s="45" t="n">
        <v>1</v>
      </c>
      <c r="AP43" s="46" t="n">
        <v>1200</v>
      </c>
      <c r="AQ43" s="46" t="n">
        <v>1200</v>
      </c>
    </row>
    <row r="44" customFormat="false" ht="14.25" hidden="false" customHeight="false" outlineLevel="0" collapsed="false">
      <c r="A44" s="33" t="s">
        <v>175</v>
      </c>
      <c r="B44" s="33" t="n">
        <v>46235</v>
      </c>
      <c r="C44" s="34" t="s">
        <v>176</v>
      </c>
      <c r="D44" s="35" t="s">
        <v>177</v>
      </c>
      <c r="E44" s="35" t="s">
        <v>32</v>
      </c>
      <c r="F44" s="36" t="s">
        <v>178</v>
      </c>
      <c r="G44" s="37" t="s">
        <v>179</v>
      </c>
      <c r="H44" s="35" t="s">
        <v>112</v>
      </c>
      <c r="I44" s="35" t="s">
        <v>112</v>
      </c>
      <c r="J44" s="38" t="n">
        <v>22</v>
      </c>
      <c r="K44" s="47" t="n">
        <v>1</v>
      </c>
      <c r="L44" s="47" t="n">
        <v>1</v>
      </c>
      <c r="M44" s="47" t="n">
        <v>1</v>
      </c>
      <c r="N44" s="47" t="n">
        <v>1</v>
      </c>
      <c r="O44" s="40" t="n">
        <v>1</v>
      </c>
      <c r="P44" s="41" t="n">
        <v>1</v>
      </c>
      <c r="Q44" s="42" t="n">
        <v>15</v>
      </c>
      <c r="R44" s="42" t="n">
        <v>0</v>
      </c>
      <c r="S44" s="42" t="n">
        <v>15</v>
      </c>
      <c r="T44" s="42" t="n">
        <v>7</v>
      </c>
      <c r="U44" s="43" t="n">
        <v>0</v>
      </c>
      <c r="V44" s="43" t="n">
        <v>0</v>
      </c>
      <c r="W44" s="44" t="n">
        <v>0</v>
      </c>
      <c r="X44" s="44" t="n">
        <v>0</v>
      </c>
      <c r="Y44" s="43" t="n">
        <v>0</v>
      </c>
      <c r="Z44" s="43" t="n">
        <v>0</v>
      </c>
      <c r="AA44" s="44" t="n">
        <v>0</v>
      </c>
      <c r="AB44" s="44" t="n">
        <v>0</v>
      </c>
      <c r="AC44" s="43" t="n">
        <v>0</v>
      </c>
      <c r="AD44" s="43" t="n">
        <v>0</v>
      </c>
      <c r="AE44" s="44" t="n">
        <v>0</v>
      </c>
      <c r="AF44" s="44" t="n">
        <v>0</v>
      </c>
      <c r="AG44" s="43" t="n">
        <v>0</v>
      </c>
      <c r="AH44" s="43" t="n">
        <v>0</v>
      </c>
      <c r="AI44" s="43" t="n">
        <v>0</v>
      </c>
      <c r="AJ44" s="44"/>
      <c r="AK44" s="43" t="n">
        <v>3</v>
      </c>
      <c r="AL44" s="43" t="n">
        <v>3</v>
      </c>
      <c r="AM44" s="45" t="n">
        <v>0.7</v>
      </c>
      <c r="AN44" s="45" t="n">
        <v>0.3</v>
      </c>
      <c r="AO44" s="45" t="n">
        <v>1</v>
      </c>
      <c r="AP44" s="46" t="n">
        <v>1200</v>
      </c>
      <c r="AQ44" s="46" t="n">
        <v>1200</v>
      </c>
    </row>
    <row r="45" customFormat="false" ht="14.25" hidden="false" customHeight="false" outlineLevel="0" collapsed="false">
      <c r="A45" s="33" t="s">
        <v>180</v>
      </c>
      <c r="B45" s="33" t="n">
        <v>46235</v>
      </c>
      <c r="C45" s="34" t="s">
        <v>176</v>
      </c>
      <c r="D45" s="35" t="s">
        <v>177</v>
      </c>
      <c r="E45" s="35" t="s">
        <v>32</v>
      </c>
      <c r="F45" s="36" t="s">
        <v>178</v>
      </c>
      <c r="G45" s="37" t="s">
        <v>179</v>
      </c>
      <c r="H45" s="35" t="s">
        <v>112</v>
      </c>
      <c r="I45" s="35" t="s">
        <v>112</v>
      </c>
      <c r="J45" s="38" t="n">
        <v>22</v>
      </c>
      <c r="K45" s="47" t="n">
        <v>1</v>
      </c>
      <c r="L45" s="47" t="n">
        <v>1</v>
      </c>
      <c r="M45" s="47" t="n">
        <v>1</v>
      </c>
      <c r="N45" s="47" t="n">
        <v>1</v>
      </c>
      <c r="O45" s="40" t="n">
        <v>1</v>
      </c>
      <c r="P45" s="41" t="n">
        <v>1</v>
      </c>
      <c r="Q45" s="42" t="n">
        <v>0</v>
      </c>
      <c r="R45" s="42" t="n">
        <v>0</v>
      </c>
      <c r="S45" s="42" t="n">
        <v>15</v>
      </c>
      <c r="T45" s="42" t="n">
        <v>7</v>
      </c>
      <c r="U45" s="43" t="n">
        <v>0</v>
      </c>
      <c r="V45" s="43" t="n">
        <v>0</v>
      </c>
      <c r="W45" s="44" t="n">
        <v>0</v>
      </c>
      <c r="X45" s="44" t="n">
        <v>0</v>
      </c>
      <c r="Y45" s="43" t="n">
        <v>0</v>
      </c>
      <c r="Z45" s="43" t="n">
        <v>0</v>
      </c>
      <c r="AA45" s="44" t="n">
        <v>0</v>
      </c>
      <c r="AB45" s="44" t="n">
        <v>0</v>
      </c>
      <c r="AC45" s="43" t="n">
        <v>0</v>
      </c>
      <c r="AD45" s="43" t="n">
        <v>0</v>
      </c>
      <c r="AE45" s="44" t="n">
        <v>0</v>
      </c>
      <c r="AF45" s="44" t="n">
        <v>0</v>
      </c>
      <c r="AG45" s="43" t="n">
        <v>0</v>
      </c>
      <c r="AH45" s="43" t="n">
        <v>0</v>
      </c>
      <c r="AI45" s="43" t="n">
        <v>0</v>
      </c>
      <c r="AJ45" s="44"/>
      <c r="AK45" s="43" t="n">
        <v>2</v>
      </c>
      <c r="AL45" s="43" t="n">
        <v>2</v>
      </c>
      <c r="AM45" s="45" t="n">
        <v>0.7</v>
      </c>
      <c r="AN45" s="45" t="n">
        <v>0.3</v>
      </c>
      <c r="AO45" s="45" t="n">
        <v>1</v>
      </c>
      <c r="AP45" s="46" t="n">
        <v>1200</v>
      </c>
      <c r="AQ45" s="46" t="n">
        <v>1200</v>
      </c>
    </row>
    <row r="46" customFormat="false" ht="14.25" hidden="false" customHeight="false" outlineLevel="0" collapsed="false">
      <c r="A46" s="33" t="s">
        <v>181</v>
      </c>
      <c r="B46" s="33" t="n">
        <v>46235</v>
      </c>
      <c r="C46" s="34" t="s">
        <v>176</v>
      </c>
      <c r="D46" s="35" t="s">
        <v>177</v>
      </c>
      <c r="E46" s="35" t="s">
        <v>32</v>
      </c>
      <c r="F46" s="36" t="s">
        <v>178</v>
      </c>
      <c r="G46" s="37" t="s">
        <v>179</v>
      </c>
      <c r="H46" s="35" t="s">
        <v>112</v>
      </c>
      <c r="I46" s="35" t="s">
        <v>112</v>
      </c>
      <c r="J46" s="38" t="n">
        <v>22</v>
      </c>
      <c r="K46" s="47" t="n">
        <v>1</v>
      </c>
      <c r="L46" s="47" t="n">
        <v>1</v>
      </c>
      <c r="M46" s="47" t="n">
        <v>1</v>
      </c>
      <c r="N46" s="47" t="n">
        <v>1</v>
      </c>
      <c r="O46" s="40" t="n">
        <v>1</v>
      </c>
      <c r="P46" s="41" t="n">
        <v>1</v>
      </c>
      <c r="Q46" s="42" t="n">
        <v>0</v>
      </c>
      <c r="R46" s="42" t="n">
        <v>0</v>
      </c>
      <c r="S46" s="42" t="n">
        <v>15</v>
      </c>
      <c r="T46" s="42" t="n">
        <v>7</v>
      </c>
      <c r="U46" s="43" t="n">
        <v>0</v>
      </c>
      <c r="V46" s="43" t="n">
        <v>0</v>
      </c>
      <c r="W46" s="44" t="n">
        <v>0</v>
      </c>
      <c r="X46" s="44" t="n">
        <v>0</v>
      </c>
      <c r="Y46" s="43" t="n">
        <v>0</v>
      </c>
      <c r="Z46" s="43" t="n">
        <v>0</v>
      </c>
      <c r="AA46" s="44" t="n">
        <v>0</v>
      </c>
      <c r="AB46" s="44" t="n">
        <v>0</v>
      </c>
      <c r="AC46" s="43" t="n">
        <v>0</v>
      </c>
      <c r="AD46" s="43" t="n">
        <v>0</v>
      </c>
      <c r="AE46" s="44" t="n">
        <v>0</v>
      </c>
      <c r="AF46" s="44" t="n">
        <v>0</v>
      </c>
      <c r="AG46" s="43" t="n">
        <v>0</v>
      </c>
      <c r="AH46" s="43" t="n">
        <v>0</v>
      </c>
      <c r="AI46" s="43" t="n">
        <v>0</v>
      </c>
      <c r="AJ46" s="44"/>
      <c r="AK46" s="43" t="n">
        <v>0</v>
      </c>
      <c r="AL46" s="43" t="n">
        <v>0</v>
      </c>
      <c r="AM46" s="45" t="n">
        <v>0.7</v>
      </c>
      <c r="AN46" s="45" t="n">
        <v>0.3</v>
      </c>
      <c r="AO46" s="45" t="n">
        <v>1</v>
      </c>
      <c r="AP46" s="46" t="n">
        <v>1200</v>
      </c>
      <c r="AQ46" s="46" t="n">
        <v>1200</v>
      </c>
    </row>
    <row r="47" customFormat="false" ht="14.25" hidden="false" customHeight="false" outlineLevel="0" collapsed="false">
      <c r="A47" s="33" t="s">
        <v>182</v>
      </c>
      <c r="B47" s="33" t="n">
        <v>46235</v>
      </c>
      <c r="C47" s="34" t="s">
        <v>176</v>
      </c>
      <c r="D47" s="35" t="s">
        <v>177</v>
      </c>
      <c r="E47" s="35" t="s">
        <v>32</v>
      </c>
      <c r="F47" s="36" t="s">
        <v>183</v>
      </c>
      <c r="G47" s="37" t="s">
        <v>179</v>
      </c>
      <c r="H47" s="35" t="s">
        <v>112</v>
      </c>
      <c r="I47" s="35" t="s">
        <v>112</v>
      </c>
      <c r="J47" s="38" t="n">
        <v>22</v>
      </c>
      <c r="K47" s="47" t="n">
        <v>1</v>
      </c>
      <c r="L47" s="47" t="n">
        <v>1</v>
      </c>
      <c r="M47" s="47" t="n">
        <v>1</v>
      </c>
      <c r="N47" s="47" t="n">
        <v>1</v>
      </c>
      <c r="O47" s="40" t="n">
        <v>1</v>
      </c>
      <c r="P47" s="41" t="n">
        <v>1</v>
      </c>
      <c r="Q47" s="42" t="n">
        <v>0</v>
      </c>
      <c r="R47" s="42" t="n">
        <v>0</v>
      </c>
      <c r="S47" s="42" t="n">
        <v>15</v>
      </c>
      <c r="T47" s="42" t="n">
        <v>7</v>
      </c>
      <c r="U47" s="43" t="n">
        <v>0</v>
      </c>
      <c r="V47" s="43" t="n">
        <v>0</v>
      </c>
      <c r="W47" s="44" t="n">
        <v>0</v>
      </c>
      <c r="X47" s="44" t="n">
        <v>0</v>
      </c>
      <c r="Y47" s="43" t="n">
        <v>0</v>
      </c>
      <c r="Z47" s="43" t="n">
        <v>0</v>
      </c>
      <c r="AA47" s="44" t="n">
        <v>0</v>
      </c>
      <c r="AB47" s="44" t="n">
        <v>0</v>
      </c>
      <c r="AC47" s="43" t="n">
        <v>0</v>
      </c>
      <c r="AD47" s="43" t="n">
        <v>0</v>
      </c>
      <c r="AE47" s="44" t="n">
        <v>0</v>
      </c>
      <c r="AF47" s="44" t="n">
        <v>0</v>
      </c>
      <c r="AG47" s="43" t="n">
        <v>0</v>
      </c>
      <c r="AH47" s="43" t="n">
        <v>0</v>
      </c>
      <c r="AI47" s="43" t="n">
        <v>0</v>
      </c>
      <c r="AJ47" s="44"/>
      <c r="AK47" s="43" t="n">
        <v>0</v>
      </c>
      <c r="AL47" s="43" t="n">
        <v>0</v>
      </c>
      <c r="AM47" s="45" t="n">
        <v>0.7</v>
      </c>
      <c r="AN47" s="45" t="n">
        <v>0.3</v>
      </c>
      <c r="AO47" s="45" t="n">
        <v>1</v>
      </c>
      <c r="AP47" s="46" t="n">
        <v>1200</v>
      </c>
      <c r="AQ47" s="46" t="n">
        <v>1200</v>
      </c>
    </row>
    <row r="48" customFormat="false" ht="14.25" hidden="false" customHeight="false" outlineLevel="0" collapsed="false">
      <c r="A48" s="33" t="s">
        <v>184</v>
      </c>
      <c r="B48" s="33" t="n">
        <v>46235</v>
      </c>
      <c r="C48" s="34" t="s">
        <v>176</v>
      </c>
      <c r="D48" s="35" t="s">
        <v>177</v>
      </c>
      <c r="E48" s="35" t="s">
        <v>32</v>
      </c>
      <c r="F48" s="36" t="s">
        <v>183</v>
      </c>
      <c r="G48" s="37" t="s">
        <v>179</v>
      </c>
      <c r="H48" s="35" t="s">
        <v>112</v>
      </c>
      <c r="I48" s="35" t="s">
        <v>112</v>
      </c>
      <c r="J48" s="38" t="n">
        <v>22</v>
      </c>
      <c r="K48" s="47" t="n">
        <v>1</v>
      </c>
      <c r="L48" s="47" t="n">
        <v>1</v>
      </c>
      <c r="M48" s="47" t="n">
        <v>1</v>
      </c>
      <c r="N48" s="47" t="n">
        <v>1</v>
      </c>
      <c r="O48" s="40" t="n">
        <v>1</v>
      </c>
      <c r="P48" s="41" t="n">
        <v>1</v>
      </c>
      <c r="Q48" s="42" t="n">
        <v>15</v>
      </c>
      <c r="R48" s="42" t="n">
        <v>0</v>
      </c>
      <c r="S48" s="42" t="n">
        <v>15</v>
      </c>
      <c r="T48" s="42" t="n">
        <v>7</v>
      </c>
      <c r="U48" s="43" t="n">
        <v>0</v>
      </c>
      <c r="V48" s="43" t="n">
        <v>0</v>
      </c>
      <c r="W48" s="44" t="n">
        <v>0</v>
      </c>
      <c r="X48" s="44" t="n">
        <v>0</v>
      </c>
      <c r="Y48" s="43" t="n">
        <v>0</v>
      </c>
      <c r="Z48" s="43" t="n">
        <v>0</v>
      </c>
      <c r="AA48" s="44" t="n">
        <v>0</v>
      </c>
      <c r="AB48" s="44" t="n">
        <v>0</v>
      </c>
      <c r="AC48" s="43" t="n">
        <v>0</v>
      </c>
      <c r="AD48" s="43" t="n">
        <v>0</v>
      </c>
      <c r="AE48" s="44" t="n">
        <v>0</v>
      </c>
      <c r="AF48" s="44" t="n">
        <v>0</v>
      </c>
      <c r="AG48" s="43" t="n">
        <v>0</v>
      </c>
      <c r="AH48" s="43" t="n">
        <v>0</v>
      </c>
      <c r="AI48" s="43" t="n">
        <v>0</v>
      </c>
      <c r="AJ48" s="44"/>
      <c r="AK48" s="43" t="n">
        <v>4</v>
      </c>
      <c r="AL48" s="43" t="n">
        <v>4</v>
      </c>
      <c r="AM48" s="45" t="n">
        <v>0.7</v>
      </c>
      <c r="AN48" s="45" t="n">
        <v>0.3</v>
      </c>
      <c r="AO48" s="45" t="n">
        <v>1</v>
      </c>
      <c r="AP48" s="46" t="n">
        <v>1200</v>
      </c>
      <c r="AQ48" s="46" t="n">
        <v>1200</v>
      </c>
    </row>
    <row r="49" customFormat="false" ht="14.25" hidden="false" customHeight="false" outlineLevel="0" collapsed="false">
      <c r="A49" s="33" t="s">
        <v>185</v>
      </c>
      <c r="B49" s="33" t="n">
        <v>46235</v>
      </c>
      <c r="C49" s="34" t="s">
        <v>176</v>
      </c>
      <c r="D49" s="35" t="s">
        <v>186</v>
      </c>
      <c r="E49" s="35" t="s">
        <v>27</v>
      </c>
      <c r="F49" s="36" t="s">
        <v>187</v>
      </c>
      <c r="G49" s="37" t="s">
        <v>188</v>
      </c>
      <c r="H49" s="35" t="s">
        <v>112</v>
      </c>
      <c r="I49" s="35" t="s">
        <v>112</v>
      </c>
      <c r="J49" s="38" t="n">
        <v>22</v>
      </c>
      <c r="K49" s="47" t="n">
        <v>1</v>
      </c>
      <c r="L49" s="47" t="n">
        <v>1</v>
      </c>
      <c r="M49" s="47" t="n">
        <v>1</v>
      </c>
      <c r="N49" s="47" t="n">
        <v>1</v>
      </c>
      <c r="O49" s="40" t="n">
        <v>1</v>
      </c>
      <c r="P49" s="41" t="n">
        <v>1</v>
      </c>
      <c r="Q49" s="42" t="n">
        <v>3</v>
      </c>
      <c r="R49" s="42" t="n">
        <v>1</v>
      </c>
      <c r="S49" s="42" t="n">
        <v>4</v>
      </c>
      <c r="T49" s="42" t="n">
        <v>2</v>
      </c>
      <c r="U49" s="43" t="n">
        <v>0</v>
      </c>
      <c r="V49" s="43" t="n">
        <v>0</v>
      </c>
      <c r="W49" s="44" t="n">
        <v>0</v>
      </c>
      <c r="X49" s="44" t="n">
        <v>0</v>
      </c>
      <c r="Y49" s="43" t="n">
        <v>0</v>
      </c>
      <c r="Z49" s="43" t="n">
        <v>0</v>
      </c>
      <c r="AA49" s="44" t="n">
        <v>0</v>
      </c>
      <c r="AB49" s="44" t="n">
        <v>0</v>
      </c>
      <c r="AC49" s="43" t="n">
        <v>0</v>
      </c>
      <c r="AD49" s="43" t="n">
        <v>0</v>
      </c>
      <c r="AE49" s="44" t="n">
        <v>0</v>
      </c>
      <c r="AF49" s="44" t="n">
        <v>0</v>
      </c>
      <c r="AG49" s="43" t="n">
        <v>0</v>
      </c>
      <c r="AH49" s="43" t="n">
        <v>0</v>
      </c>
      <c r="AI49" s="43" t="n">
        <v>0</v>
      </c>
      <c r="AJ49" s="44"/>
      <c r="AK49" s="43" t="n">
        <v>0</v>
      </c>
      <c r="AL49" s="43" t="n">
        <v>0</v>
      </c>
      <c r="AM49" s="45" t="n">
        <v>0.7</v>
      </c>
      <c r="AN49" s="45" t="n">
        <v>0.3</v>
      </c>
      <c r="AO49" s="45" t="n">
        <v>1</v>
      </c>
      <c r="AP49" s="46" t="n">
        <v>1200</v>
      </c>
      <c r="AQ49" s="46" t="n">
        <v>1200</v>
      </c>
    </row>
    <row r="50" customFormat="false" ht="14.25" hidden="false" customHeight="false" outlineLevel="0" collapsed="false">
      <c r="A50" s="33" t="s">
        <v>189</v>
      </c>
      <c r="B50" s="33" t="n">
        <v>46219</v>
      </c>
      <c r="C50" s="34" t="s">
        <v>190</v>
      </c>
      <c r="D50" s="35" t="s">
        <v>186</v>
      </c>
      <c r="E50" s="35" t="s">
        <v>27</v>
      </c>
      <c r="F50" s="36" t="s">
        <v>187</v>
      </c>
      <c r="G50" s="37" t="s">
        <v>188</v>
      </c>
      <c r="H50" s="35" t="s">
        <v>112</v>
      </c>
      <c r="I50" s="35" t="s">
        <v>112</v>
      </c>
      <c r="J50" s="38" t="n">
        <v>22</v>
      </c>
      <c r="K50" s="47" t="n">
        <v>1</v>
      </c>
      <c r="L50" s="47" t="n">
        <v>1</v>
      </c>
      <c r="M50" s="47" t="n">
        <v>1</v>
      </c>
      <c r="N50" s="47" t="n">
        <v>1</v>
      </c>
      <c r="O50" s="40" t="n">
        <v>1</v>
      </c>
      <c r="P50" s="41" t="n">
        <v>1</v>
      </c>
      <c r="Q50" s="42" t="n">
        <v>3</v>
      </c>
      <c r="R50" s="42" t="n">
        <v>1</v>
      </c>
      <c r="S50" s="42" t="n">
        <v>4</v>
      </c>
      <c r="T50" s="42" t="n">
        <v>1</v>
      </c>
      <c r="U50" s="43" t="n">
        <v>0</v>
      </c>
      <c r="V50" s="43" t="n">
        <v>0</v>
      </c>
      <c r="W50" s="44" t="n">
        <v>0</v>
      </c>
      <c r="X50" s="44" t="n">
        <v>0</v>
      </c>
      <c r="Y50" s="43" t="n">
        <v>0</v>
      </c>
      <c r="Z50" s="43" t="n">
        <v>0</v>
      </c>
      <c r="AA50" s="44" t="n">
        <v>0</v>
      </c>
      <c r="AB50" s="44" t="n">
        <v>0</v>
      </c>
      <c r="AC50" s="43" t="n">
        <v>0</v>
      </c>
      <c r="AD50" s="43" t="n">
        <v>0</v>
      </c>
      <c r="AE50" s="44" t="n">
        <v>0</v>
      </c>
      <c r="AF50" s="44" t="n">
        <v>0</v>
      </c>
      <c r="AG50" s="43" t="n">
        <v>2</v>
      </c>
      <c r="AH50" s="43" t="n">
        <v>0</v>
      </c>
      <c r="AI50" s="43" t="n">
        <v>0</v>
      </c>
      <c r="AJ50" s="44"/>
      <c r="AK50" s="43" t="n">
        <v>0</v>
      </c>
      <c r="AL50" s="43" t="n">
        <v>1</v>
      </c>
      <c r="AM50" s="45" t="n">
        <v>0.7</v>
      </c>
      <c r="AN50" s="45" t="n">
        <v>0.3</v>
      </c>
      <c r="AO50" s="45" t="n">
        <v>1</v>
      </c>
      <c r="AP50" s="46" t="n">
        <v>1200</v>
      </c>
      <c r="AQ50" s="46" t="n">
        <v>1200</v>
      </c>
    </row>
    <row r="51" customFormat="false" ht="14.25" hidden="false" customHeight="false" outlineLevel="0" collapsed="false">
      <c r="A51" s="33" t="s">
        <v>191</v>
      </c>
      <c r="B51" s="33" t="n">
        <v>46235</v>
      </c>
      <c r="C51" s="34" t="s">
        <v>176</v>
      </c>
      <c r="D51" s="35" t="s">
        <v>186</v>
      </c>
      <c r="E51" s="35" t="s">
        <v>27</v>
      </c>
      <c r="F51" s="36" t="s">
        <v>187</v>
      </c>
      <c r="G51" s="37" t="s">
        <v>188</v>
      </c>
      <c r="H51" s="35" t="s">
        <v>112</v>
      </c>
      <c r="I51" s="35" t="s">
        <v>112</v>
      </c>
      <c r="J51" s="38" t="n">
        <v>22</v>
      </c>
      <c r="K51" s="47" t="n">
        <v>1</v>
      </c>
      <c r="L51" s="47" t="n">
        <v>1</v>
      </c>
      <c r="M51" s="47" t="n">
        <v>1</v>
      </c>
      <c r="N51" s="47" t="n">
        <v>1</v>
      </c>
      <c r="O51" s="40" t="n">
        <v>1</v>
      </c>
      <c r="P51" s="41" t="n">
        <v>1</v>
      </c>
      <c r="Q51" s="42" t="n">
        <v>3</v>
      </c>
      <c r="R51" s="42" t="n">
        <v>1</v>
      </c>
      <c r="S51" s="42" t="n">
        <v>4</v>
      </c>
      <c r="T51" s="42" t="n">
        <v>2</v>
      </c>
      <c r="U51" s="43" t="n">
        <v>0</v>
      </c>
      <c r="V51" s="43" t="n">
        <v>0</v>
      </c>
      <c r="W51" s="44" t="n">
        <v>0</v>
      </c>
      <c r="X51" s="44" t="n">
        <v>0</v>
      </c>
      <c r="Y51" s="43" t="n">
        <v>0</v>
      </c>
      <c r="Z51" s="43" t="n">
        <v>0</v>
      </c>
      <c r="AA51" s="44" t="n">
        <v>0</v>
      </c>
      <c r="AB51" s="44" t="n">
        <v>0</v>
      </c>
      <c r="AC51" s="43" t="n">
        <v>0</v>
      </c>
      <c r="AD51" s="43" t="n">
        <v>0</v>
      </c>
      <c r="AE51" s="44" t="n">
        <v>0</v>
      </c>
      <c r="AF51" s="44" t="n">
        <v>0</v>
      </c>
      <c r="AG51" s="43" t="n">
        <v>1</v>
      </c>
      <c r="AH51" s="43" t="n">
        <v>1</v>
      </c>
      <c r="AI51" s="43" t="n">
        <v>1</v>
      </c>
      <c r="AJ51" s="44"/>
      <c r="AK51" s="43" t="n">
        <v>0</v>
      </c>
      <c r="AL51" s="43" t="n">
        <v>1</v>
      </c>
      <c r="AM51" s="45" t="n">
        <v>0.7</v>
      </c>
      <c r="AN51" s="45" t="n">
        <v>0.3</v>
      </c>
      <c r="AO51" s="45" t="n">
        <v>1</v>
      </c>
      <c r="AP51" s="46" t="n">
        <v>1200</v>
      </c>
      <c r="AQ51" s="46" t="n">
        <v>1200</v>
      </c>
    </row>
    <row r="52" customFormat="false" ht="14.25" hidden="false" customHeight="false" outlineLevel="0" collapsed="false">
      <c r="A52" s="33" t="s">
        <v>192</v>
      </c>
      <c r="B52" s="33" t="n">
        <v>46235</v>
      </c>
      <c r="C52" s="34" t="s">
        <v>176</v>
      </c>
      <c r="D52" s="35" t="s">
        <v>186</v>
      </c>
      <c r="E52" s="35" t="s">
        <v>27</v>
      </c>
      <c r="F52" s="36" t="s">
        <v>187</v>
      </c>
      <c r="G52" s="37" t="s">
        <v>188</v>
      </c>
      <c r="H52" s="35" t="s">
        <v>112</v>
      </c>
      <c r="I52" s="35" t="s">
        <v>112</v>
      </c>
      <c r="J52" s="38" t="n">
        <v>22</v>
      </c>
      <c r="K52" s="47" t="n">
        <v>1</v>
      </c>
      <c r="L52" s="47" t="n">
        <v>1</v>
      </c>
      <c r="M52" s="47" t="n">
        <v>1</v>
      </c>
      <c r="N52" s="47" t="n">
        <v>1</v>
      </c>
      <c r="O52" s="40" t="n">
        <v>1</v>
      </c>
      <c r="P52" s="41" t="n">
        <v>1</v>
      </c>
      <c r="Q52" s="42" t="n">
        <v>3</v>
      </c>
      <c r="R52" s="42" t="n">
        <v>1</v>
      </c>
      <c r="S52" s="42" t="n">
        <v>4</v>
      </c>
      <c r="T52" s="42" t="n">
        <v>3</v>
      </c>
      <c r="U52" s="43" t="n">
        <v>1</v>
      </c>
      <c r="V52" s="43" t="n">
        <v>1</v>
      </c>
      <c r="W52" s="44" t="n">
        <v>1</v>
      </c>
      <c r="X52" s="44" t="n">
        <v>1</v>
      </c>
      <c r="Y52" s="43" t="n">
        <v>0</v>
      </c>
      <c r="Z52" s="43" t="n">
        <v>0</v>
      </c>
      <c r="AA52" s="44" t="n">
        <v>0</v>
      </c>
      <c r="AB52" s="44" t="n">
        <v>0</v>
      </c>
      <c r="AC52" s="43" t="n">
        <v>0</v>
      </c>
      <c r="AD52" s="43" t="n">
        <v>0</v>
      </c>
      <c r="AE52" s="44" t="n">
        <v>0</v>
      </c>
      <c r="AF52" s="44" t="n">
        <v>0</v>
      </c>
      <c r="AG52" s="43" t="n">
        <v>0</v>
      </c>
      <c r="AH52" s="43" t="n">
        <v>0</v>
      </c>
      <c r="AI52" s="43" t="n">
        <v>1</v>
      </c>
      <c r="AJ52" s="44"/>
      <c r="AK52" s="43" t="n">
        <v>0</v>
      </c>
      <c r="AL52" s="43" t="n">
        <v>4</v>
      </c>
      <c r="AM52" s="45" t="n">
        <v>0.7</v>
      </c>
      <c r="AN52" s="45" t="n">
        <v>0.3</v>
      </c>
      <c r="AO52" s="45" t="n">
        <v>1</v>
      </c>
      <c r="AP52" s="46" t="n">
        <v>1200</v>
      </c>
      <c r="AQ52" s="46" t="n">
        <v>1200</v>
      </c>
    </row>
    <row r="53" customFormat="false" ht="14.25" hidden="false" customHeight="false" outlineLevel="0" collapsed="false">
      <c r="A53" s="33" t="s">
        <v>193</v>
      </c>
      <c r="B53" s="33" t="n">
        <v>46235</v>
      </c>
      <c r="C53" s="34" t="s">
        <v>176</v>
      </c>
      <c r="D53" s="35" t="s">
        <v>186</v>
      </c>
      <c r="E53" s="35" t="s">
        <v>27</v>
      </c>
      <c r="F53" s="36" t="s">
        <v>194</v>
      </c>
      <c r="G53" s="37" t="s">
        <v>188</v>
      </c>
      <c r="H53" s="35" t="s">
        <v>112</v>
      </c>
      <c r="I53" s="35" t="s">
        <v>112</v>
      </c>
      <c r="J53" s="38" t="n">
        <v>22</v>
      </c>
      <c r="K53" s="47" t="n">
        <v>1</v>
      </c>
      <c r="L53" s="47" t="n">
        <v>1</v>
      </c>
      <c r="M53" s="47" t="n">
        <v>1</v>
      </c>
      <c r="N53" s="47" t="n">
        <v>1</v>
      </c>
      <c r="O53" s="40" t="n">
        <v>1</v>
      </c>
      <c r="P53" s="41" t="n">
        <v>1</v>
      </c>
      <c r="Q53" s="42" t="n">
        <v>3</v>
      </c>
      <c r="R53" s="42" t="n">
        <v>1</v>
      </c>
      <c r="S53" s="42" t="n">
        <v>4</v>
      </c>
      <c r="T53" s="42" t="n">
        <v>2</v>
      </c>
      <c r="U53" s="43" t="n">
        <v>0</v>
      </c>
      <c r="V53" s="43" t="n">
        <v>0</v>
      </c>
      <c r="W53" s="44" t="n">
        <v>0</v>
      </c>
      <c r="X53" s="44" t="n">
        <v>0</v>
      </c>
      <c r="Y53" s="43" t="n">
        <v>0</v>
      </c>
      <c r="Z53" s="43" t="n">
        <v>0</v>
      </c>
      <c r="AA53" s="44" t="n">
        <v>0</v>
      </c>
      <c r="AB53" s="44" t="n">
        <v>0</v>
      </c>
      <c r="AC53" s="43" t="n">
        <v>0</v>
      </c>
      <c r="AD53" s="43" t="n">
        <v>0</v>
      </c>
      <c r="AE53" s="44" t="n">
        <v>0</v>
      </c>
      <c r="AF53" s="44" t="n">
        <v>0</v>
      </c>
      <c r="AG53" s="43" t="n">
        <v>3</v>
      </c>
      <c r="AH53" s="43" t="n">
        <v>0</v>
      </c>
      <c r="AI53" s="43" t="n">
        <v>0</v>
      </c>
      <c r="AJ53" s="44"/>
      <c r="AK53" s="43" t="n">
        <v>0</v>
      </c>
      <c r="AL53" s="43" t="n">
        <v>1</v>
      </c>
      <c r="AM53" s="45" t="n">
        <v>0.7</v>
      </c>
      <c r="AN53" s="45" t="n">
        <v>0.3</v>
      </c>
      <c r="AO53" s="45" t="n">
        <v>1</v>
      </c>
      <c r="AP53" s="46" t="n">
        <v>1200</v>
      </c>
      <c r="AQ53" s="46" t="n">
        <v>1200</v>
      </c>
    </row>
    <row r="54" customFormat="false" ht="14.25" hidden="false" customHeight="false" outlineLevel="0" collapsed="false">
      <c r="A54" s="33" t="s">
        <v>195</v>
      </c>
      <c r="B54" s="33" t="n">
        <v>46235</v>
      </c>
      <c r="C54" s="34" t="s">
        <v>176</v>
      </c>
      <c r="D54" s="35" t="s">
        <v>186</v>
      </c>
      <c r="E54" s="35" t="s">
        <v>27</v>
      </c>
      <c r="F54" s="36" t="s">
        <v>194</v>
      </c>
      <c r="G54" s="37" t="s">
        <v>188</v>
      </c>
      <c r="H54" s="35" t="s">
        <v>112</v>
      </c>
      <c r="I54" s="35" t="s">
        <v>112</v>
      </c>
      <c r="J54" s="38" t="n">
        <v>22</v>
      </c>
      <c r="K54" s="47" t="n">
        <v>1</v>
      </c>
      <c r="L54" s="47" t="n">
        <v>1</v>
      </c>
      <c r="M54" s="47" t="n">
        <v>1</v>
      </c>
      <c r="N54" s="47" t="n">
        <v>1</v>
      </c>
      <c r="O54" s="40" t="n">
        <v>1</v>
      </c>
      <c r="P54" s="41" t="n">
        <v>1</v>
      </c>
      <c r="Q54" s="42" t="n">
        <v>3</v>
      </c>
      <c r="R54" s="42" t="n">
        <v>1</v>
      </c>
      <c r="S54" s="42" t="n">
        <v>4</v>
      </c>
      <c r="T54" s="42" t="n">
        <v>2</v>
      </c>
      <c r="U54" s="43" t="n">
        <v>0</v>
      </c>
      <c r="V54" s="43" t="n">
        <v>0</v>
      </c>
      <c r="W54" s="44" t="n">
        <v>0</v>
      </c>
      <c r="X54" s="44" t="n">
        <v>0</v>
      </c>
      <c r="Y54" s="43" t="n">
        <v>0</v>
      </c>
      <c r="Z54" s="43" t="n">
        <v>0</v>
      </c>
      <c r="AA54" s="44" t="n">
        <v>0</v>
      </c>
      <c r="AB54" s="44" t="n">
        <v>0</v>
      </c>
      <c r="AC54" s="43" t="n">
        <v>0</v>
      </c>
      <c r="AD54" s="43" t="n">
        <v>0</v>
      </c>
      <c r="AE54" s="44" t="n">
        <v>0</v>
      </c>
      <c r="AF54" s="44" t="n">
        <v>0</v>
      </c>
      <c r="AG54" s="43" t="n">
        <v>0</v>
      </c>
      <c r="AH54" s="43" t="n">
        <v>1</v>
      </c>
      <c r="AI54" s="43" t="n">
        <v>0</v>
      </c>
      <c r="AJ54" s="44"/>
      <c r="AK54" s="43" t="n">
        <v>0</v>
      </c>
      <c r="AL54" s="43" t="n">
        <v>0</v>
      </c>
      <c r="AM54" s="45" t="n">
        <v>0.7</v>
      </c>
      <c r="AN54" s="45" t="n">
        <v>0.3</v>
      </c>
      <c r="AO54" s="45" t="n">
        <v>1</v>
      </c>
      <c r="AP54" s="46" t="n">
        <v>1200</v>
      </c>
      <c r="AQ54" s="46" t="n">
        <v>1200</v>
      </c>
    </row>
    <row r="55" customFormat="false" ht="14.25" hidden="false" customHeight="false" outlineLevel="0" collapsed="false">
      <c r="A55" s="33" t="s">
        <v>196</v>
      </c>
      <c r="B55" s="33" t="n">
        <v>46219</v>
      </c>
      <c r="C55" s="34" t="s">
        <v>190</v>
      </c>
      <c r="D55" s="35" t="s">
        <v>186</v>
      </c>
      <c r="E55" s="35" t="s">
        <v>27</v>
      </c>
      <c r="F55" s="36" t="s">
        <v>194</v>
      </c>
      <c r="G55" s="37" t="s">
        <v>188</v>
      </c>
      <c r="H55" s="35" t="s">
        <v>112</v>
      </c>
      <c r="I55" s="35" t="s">
        <v>112</v>
      </c>
      <c r="J55" s="38" t="n">
        <v>22</v>
      </c>
      <c r="K55" s="47" t="n">
        <v>1</v>
      </c>
      <c r="L55" s="47" t="n">
        <v>1</v>
      </c>
      <c r="M55" s="47" t="n">
        <v>1</v>
      </c>
      <c r="N55" s="47" t="n">
        <v>1</v>
      </c>
      <c r="O55" s="40" t="n">
        <v>1</v>
      </c>
      <c r="P55" s="41" t="n">
        <v>1</v>
      </c>
      <c r="Q55" s="42" t="n">
        <v>3</v>
      </c>
      <c r="R55" s="42" t="n">
        <v>1</v>
      </c>
      <c r="S55" s="42" t="n">
        <v>4</v>
      </c>
      <c r="T55" s="42" t="n">
        <v>2</v>
      </c>
      <c r="U55" s="43" t="n">
        <v>0</v>
      </c>
      <c r="V55" s="43" t="n">
        <v>0</v>
      </c>
      <c r="W55" s="44" t="n">
        <v>0</v>
      </c>
      <c r="X55" s="44" t="n">
        <v>0</v>
      </c>
      <c r="Y55" s="43" t="n">
        <v>0</v>
      </c>
      <c r="Z55" s="43" t="n">
        <v>0</v>
      </c>
      <c r="AA55" s="44" t="n">
        <v>0</v>
      </c>
      <c r="AB55" s="44" t="n">
        <v>0</v>
      </c>
      <c r="AC55" s="43" t="n">
        <v>0</v>
      </c>
      <c r="AD55" s="43" t="n">
        <v>0</v>
      </c>
      <c r="AE55" s="44" t="n">
        <v>0</v>
      </c>
      <c r="AF55" s="44" t="n">
        <v>0</v>
      </c>
      <c r="AG55" s="43" t="n">
        <v>0</v>
      </c>
      <c r="AH55" s="43" t="n">
        <v>3</v>
      </c>
      <c r="AI55" s="43" t="n">
        <v>0</v>
      </c>
      <c r="AJ55" s="44"/>
      <c r="AK55" s="43" t="n">
        <v>0</v>
      </c>
      <c r="AL55" s="43" t="n">
        <v>2</v>
      </c>
      <c r="AM55" s="45" t="n">
        <v>0.7</v>
      </c>
      <c r="AN55" s="45" t="n">
        <v>0.3</v>
      </c>
      <c r="AO55" s="45" t="n">
        <v>1</v>
      </c>
      <c r="AP55" s="46" t="n">
        <v>1200</v>
      </c>
      <c r="AQ55" s="46" t="n">
        <v>1200</v>
      </c>
    </row>
    <row r="56" customFormat="false" ht="14.25" hidden="false" customHeight="false" outlineLevel="0" collapsed="false">
      <c r="A56" s="33" t="s">
        <v>197</v>
      </c>
      <c r="B56" s="33" t="n">
        <v>46248</v>
      </c>
      <c r="C56" s="34" t="s">
        <v>176</v>
      </c>
      <c r="D56" s="35" t="s">
        <v>186</v>
      </c>
      <c r="E56" s="35" t="s">
        <v>27</v>
      </c>
      <c r="F56" s="36" t="s">
        <v>194</v>
      </c>
      <c r="G56" s="37" t="s">
        <v>188</v>
      </c>
      <c r="H56" s="35" t="s">
        <v>112</v>
      </c>
      <c r="I56" s="35" t="s">
        <v>112</v>
      </c>
      <c r="J56" s="38" t="n">
        <v>22</v>
      </c>
      <c r="K56" s="47" t="n">
        <v>1</v>
      </c>
      <c r="L56" s="47" t="n">
        <v>1</v>
      </c>
      <c r="M56" s="47" t="n">
        <v>1</v>
      </c>
      <c r="N56" s="47" t="n">
        <v>1</v>
      </c>
      <c r="O56" s="40" t="n">
        <v>1</v>
      </c>
      <c r="P56" s="41" t="n">
        <v>1</v>
      </c>
      <c r="Q56" s="42" t="n">
        <v>3</v>
      </c>
      <c r="R56" s="42" t="n">
        <v>1</v>
      </c>
      <c r="S56" s="42" t="n">
        <v>4</v>
      </c>
      <c r="T56" s="42" t="n">
        <v>2</v>
      </c>
      <c r="U56" s="43" t="n">
        <v>0</v>
      </c>
      <c r="V56" s="43" t="n">
        <v>0</v>
      </c>
      <c r="W56" s="44" t="n">
        <v>0</v>
      </c>
      <c r="X56" s="44" t="n">
        <v>0</v>
      </c>
      <c r="Y56" s="43" t="n">
        <v>0</v>
      </c>
      <c r="Z56" s="43" t="n">
        <v>0</v>
      </c>
      <c r="AA56" s="44" t="n">
        <v>0</v>
      </c>
      <c r="AB56" s="44" t="n">
        <v>0</v>
      </c>
      <c r="AC56" s="43" t="n">
        <v>0</v>
      </c>
      <c r="AD56" s="43" t="n">
        <v>0</v>
      </c>
      <c r="AE56" s="44" t="n">
        <v>0</v>
      </c>
      <c r="AF56" s="44" t="n">
        <v>0</v>
      </c>
      <c r="AG56" s="43" t="n">
        <v>0</v>
      </c>
      <c r="AH56" s="43" t="n">
        <v>3</v>
      </c>
      <c r="AI56" s="43" t="n">
        <v>1</v>
      </c>
      <c r="AJ56" s="44"/>
      <c r="AK56" s="43" t="n">
        <v>0</v>
      </c>
      <c r="AL56" s="43" t="n">
        <v>2</v>
      </c>
      <c r="AM56" s="45" t="n">
        <v>0.7</v>
      </c>
      <c r="AN56" s="45" t="n">
        <v>0.3</v>
      </c>
      <c r="AO56" s="45" t="n">
        <v>1</v>
      </c>
      <c r="AP56" s="46" t="n">
        <v>1200</v>
      </c>
      <c r="AQ56" s="46" t="n">
        <v>1200</v>
      </c>
    </row>
    <row r="57" customFormat="false" ht="14.25" hidden="false" customHeight="false" outlineLevel="0" collapsed="false">
      <c r="A57" s="33" t="s">
        <v>198</v>
      </c>
      <c r="B57" s="33" t="n">
        <v>46183</v>
      </c>
      <c r="C57" s="34" t="s">
        <v>199</v>
      </c>
      <c r="D57" s="35" t="s">
        <v>186</v>
      </c>
      <c r="E57" s="35" t="s">
        <v>26</v>
      </c>
      <c r="F57" s="36" t="s">
        <v>200</v>
      </c>
      <c r="G57" s="37" t="s">
        <v>188</v>
      </c>
      <c r="H57" s="35" t="s">
        <v>112</v>
      </c>
      <c r="I57" s="35" t="s">
        <v>112</v>
      </c>
      <c r="J57" s="38" t="n">
        <v>22</v>
      </c>
      <c r="K57" s="47" t="n">
        <v>1</v>
      </c>
      <c r="L57" s="47" t="n">
        <v>1</v>
      </c>
      <c r="M57" s="47" t="n">
        <v>1</v>
      </c>
      <c r="N57" s="47" t="n">
        <v>1</v>
      </c>
      <c r="O57" s="40" t="n">
        <v>1</v>
      </c>
      <c r="P57" s="41" t="n">
        <v>1</v>
      </c>
      <c r="Q57" s="42" t="n">
        <v>4</v>
      </c>
      <c r="R57" s="42" t="n">
        <v>1</v>
      </c>
      <c r="S57" s="42" t="n">
        <v>5</v>
      </c>
      <c r="T57" s="42" t="n">
        <v>2</v>
      </c>
      <c r="U57" s="43" t="n">
        <v>1</v>
      </c>
      <c r="V57" s="43" t="n">
        <v>1</v>
      </c>
      <c r="W57" s="44" t="n">
        <v>1</v>
      </c>
      <c r="X57" s="44" t="n">
        <v>1</v>
      </c>
      <c r="Y57" s="43" t="n">
        <v>0</v>
      </c>
      <c r="Z57" s="43" t="n">
        <v>0</v>
      </c>
      <c r="AA57" s="44" t="n">
        <v>0</v>
      </c>
      <c r="AB57" s="44" t="n">
        <v>0</v>
      </c>
      <c r="AC57" s="43" t="n">
        <v>0</v>
      </c>
      <c r="AD57" s="43" t="n">
        <v>0</v>
      </c>
      <c r="AE57" s="44" t="n">
        <v>0</v>
      </c>
      <c r="AF57" s="44" t="n">
        <v>0</v>
      </c>
      <c r="AG57" s="43" t="n">
        <v>0</v>
      </c>
      <c r="AH57" s="43" t="n">
        <v>0</v>
      </c>
      <c r="AI57" s="43" t="n">
        <v>0</v>
      </c>
      <c r="AJ57" s="44"/>
      <c r="AK57" s="43" t="n">
        <v>0</v>
      </c>
      <c r="AL57" s="43" t="n">
        <v>4</v>
      </c>
      <c r="AM57" s="45" t="n">
        <v>0.7</v>
      </c>
      <c r="AN57" s="45" t="n">
        <v>0.3</v>
      </c>
      <c r="AO57" s="45" t="n">
        <v>1</v>
      </c>
      <c r="AP57" s="46" t="n">
        <v>1200</v>
      </c>
      <c r="AQ57" s="46" t="n">
        <v>1200</v>
      </c>
    </row>
    <row r="58" customFormat="false" ht="14.25" hidden="false" customHeight="false" outlineLevel="0" collapsed="false">
      <c r="A58" s="33" t="s">
        <v>201</v>
      </c>
      <c r="B58" s="33" t="n">
        <v>46189</v>
      </c>
      <c r="C58" s="34" t="s">
        <v>199</v>
      </c>
      <c r="D58" s="35" t="s">
        <v>186</v>
      </c>
      <c r="E58" s="35" t="s">
        <v>26</v>
      </c>
      <c r="F58" s="36" t="s">
        <v>200</v>
      </c>
      <c r="G58" s="37" t="s">
        <v>188</v>
      </c>
      <c r="H58" s="35" t="s">
        <v>112</v>
      </c>
      <c r="I58" s="35" t="s">
        <v>112</v>
      </c>
      <c r="J58" s="38" t="n">
        <v>22</v>
      </c>
      <c r="K58" s="47" t="n">
        <v>1</v>
      </c>
      <c r="L58" s="47" t="n">
        <v>1</v>
      </c>
      <c r="M58" s="47" t="n">
        <v>1</v>
      </c>
      <c r="N58" s="47" t="n">
        <v>1</v>
      </c>
      <c r="O58" s="40" t="n">
        <v>1</v>
      </c>
      <c r="P58" s="41" t="n">
        <v>1</v>
      </c>
      <c r="Q58" s="42" t="n">
        <v>4</v>
      </c>
      <c r="R58" s="42" t="n">
        <v>1</v>
      </c>
      <c r="S58" s="42" t="n">
        <v>5</v>
      </c>
      <c r="T58" s="42" t="n">
        <v>2</v>
      </c>
      <c r="U58" s="43" t="n">
        <v>0</v>
      </c>
      <c r="V58" s="43" t="n">
        <v>0</v>
      </c>
      <c r="W58" s="44" t="n">
        <v>0</v>
      </c>
      <c r="X58" s="44" t="n">
        <v>0</v>
      </c>
      <c r="Y58" s="43" t="n">
        <v>0</v>
      </c>
      <c r="Z58" s="43" t="n">
        <v>0</v>
      </c>
      <c r="AA58" s="44" t="n">
        <v>0</v>
      </c>
      <c r="AB58" s="44" t="n">
        <v>0</v>
      </c>
      <c r="AC58" s="43" t="n">
        <v>0</v>
      </c>
      <c r="AD58" s="43" t="n">
        <v>0</v>
      </c>
      <c r="AE58" s="44" t="n">
        <v>0</v>
      </c>
      <c r="AF58" s="44" t="n">
        <v>0</v>
      </c>
      <c r="AG58" s="43" t="n">
        <v>0</v>
      </c>
      <c r="AH58" s="43" t="n">
        <v>0</v>
      </c>
      <c r="AI58" s="43" t="n">
        <v>0</v>
      </c>
      <c r="AJ58" s="44"/>
      <c r="AK58" s="43" t="n">
        <v>0</v>
      </c>
      <c r="AL58" s="43" t="n">
        <v>0</v>
      </c>
      <c r="AM58" s="45" t="n">
        <v>0.7</v>
      </c>
      <c r="AN58" s="45" t="n">
        <v>0.3</v>
      </c>
      <c r="AO58" s="45" t="n">
        <v>1</v>
      </c>
      <c r="AP58" s="46" t="n">
        <v>1200</v>
      </c>
      <c r="AQ58" s="46" t="n">
        <v>1200</v>
      </c>
    </row>
    <row r="59" customFormat="false" ht="14.25" hidden="false" customHeight="false" outlineLevel="0" collapsed="false">
      <c r="A59" s="33" t="s">
        <v>202</v>
      </c>
      <c r="B59" s="33" t="n">
        <v>46189</v>
      </c>
      <c r="C59" s="34" t="s">
        <v>199</v>
      </c>
      <c r="D59" s="35" t="s">
        <v>186</v>
      </c>
      <c r="E59" s="35" t="s">
        <v>26</v>
      </c>
      <c r="F59" s="36" t="s">
        <v>200</v>
      </c>
      <c r="G59" s="37" t="s">
        <v>188</v>
      </c>
      <c r="H59" s="35" t="s">
        <v>112</v>
      </c>
      <c r="I59" s="35" t="s">
        <v>112</v>
      </c>
      <c r="J59" s="38" t="n">
        <v>22</v>
      </c>
      <c r="K59" s="47" t="n">
        <v>1</v>
      </c>
      <c r="L59" s="47" t="n">
        <v>1</v>
      </c>
      <c r="M59" s="47" t="n">
        <v>1</v>
      </c>
      <c r="N59" s="47" t="n">
        <v>1</v>
      </c>
      <c r="O59" s="40" t="n">
        <v>1</v>
      </c>
      <c r="P59" s="41" t="n">
        <v>1</v>
      </c>
      <c r="Q59" s="42" t="n">
        <v>4</v>
      </c>
      <c r="R59" s="42" t="n">
        <v>1</v>
      </c>
      <c r="S59" s="42" t="n">
        <v>5</v>
      </c>
      <c r="T59" s="42" t="n">
        <v>2</v>
      </c>
      <c r="U59" s="43" t="n">
        <v>0</v>
      </c>
      <c r="V59" s="43" t="n">
        <v>0</v>
      </c>
      <c r="W59" s="44" t="n">
        <v>0</v>
      </c>
      <c r="X59" s="44" t="n">
        <v>0</v>
      </c>
      <c r="Y59" s="43" t="n">
        <v>0</v>
      </c>
      <c r="Z59" s="43" t="n">
        <v>0</v>
      </c>
      <c r="AA59" s="44" t="n">
        <v>0</v>
      </c>
      <c r="AB59" s="44" t="n">
        <v>0</v>
      </c>
      <c r="AC59" s="43" t="n">
        <v>0</v>
      </c>
      <c r="AD59" s="43" t="n">
        <v>0</v>
      </c>
      <c r="AE59" s="44" t="n">
        <v>0</v>
      </c>
      <c r="AF59" s="44" t="n">
        <v>0</v>
      </c>
      <c r="AG59" s="43" t="n">
        <v>1</v>
      </c>
      <c r="AH59" s="43" t="n">
        <v>0</v>
      </c>
      <c r="AI59" s="43" t="n">
        <v>0</v>
      </c>
      <c r="AJ59" s="44"/>
      <c r="AK59" s="43" t="n">
        <v>0</v>
      </c>
      <c r="AL59" s="43" t="n">
        <v>1</v>
      </c>
      <c r="AM59" s="45" t="n">
        <v>0.7</v>
      </c>
      <c r="AN59" s="45" t="n">
        <v>0.3</v>
      </c>
      <c r="AO59" s="45" t="n">
        <v>1</v>
      </c>
      <c r="AP59" s="46" t="n">
        <v>1200</v>
      </c>
      <c r="AQ59" s="46" t="n">
        <v>1200</v>
      </c>
    </row>
    <row r="60" customFormat="false" ht="14.25" hidden="false" customHeight="false" outlineLevel="0" collapsed="false">
      <c r="A60" s="33" t="s">
        <v>203</v>
      </c>
      <c r="B60" s="33" t="n">
        <v>46189</v>
      </c>
      <c r="C60" s="34" t="s">
        <v>199</v>
      </c>
      <c r="D60" s="35" t="s">
        <v>186</v>
      </c>
      <c r="E60" s="35" t="s">
        <v>26</v>
      </c>
      <c r="F60" s="36" t="s">
        <v>200</v>
      </c>
      <c r="G60" s="37" t="s">
        <v>188</v>
      </c>
      <c r="H60" s="35" t="s">
        <v>112</v>
      </c>
      <c r="I60" s="35" t="s">
        <v>112</v>
      </c>
      <c r="J60" s="38" t="n">
        <v>22</v>
      </c>
      <c r="K60" s="47" t="n">
        <v>1</v>
      </c>
      <c r="L60" s="47" t="n">
        <v>1</v>
      </c>
      <c r="M60" s="47" t="n">
        <v>1</v>
      </c>
      <c r="N60" s="47" t="n">
        <v>1</v>
      </c>
      <c r="O60" s="40" t="n">
        <v>1</v>
      </c>
      <c r="P60" s="41" t="n">
        <v>1</v>
      </c>
      <c r="Q60" s="42" t="n">
        <v>4</v>
      </c>
      <c r="R60" s="42" t="n">
        <v>1</v>
      </c>
      <c r="S60" s="42" t="n">
        <v>5</v>
      </c>
      <c r="T60" s="42" t="n">
        <v>3</v>
      </c>
      <c r="U60" s="43" t="n">
        <v>3</v>
      </c>
      <c r="V60" s="43" t="n">
        <v>3</v>
      </c>
      <c r="W60" s="44" t="n">
        <v>4</v>
      </c>
      <c r="X60" s="44" t="n">
        <v>5</v>
      </c>
      <c r="Y60" s="43" t="n">
        <v>0</v>
      </c>
      <c r="Z60" s="43" t="n">
        <v>0</v>
      </c>
      <c r="AA60" s="44" t="n">
        <v>0</v>
      </c>
      <c r="AB60" s="44" t="n">
        <v>0</v>
      </c>
      <c r="AC60" s="43" t="n">
        <v>0</v>
      </c>
      <c r="AD60" s="43" t="n">
        <v>0</v>
      </c>
      <c r="AE60" s="44" t="n">
        <v>0</v>
      </c>
      <c r="AF60" s="44" t="n">
        <v>0</v>
      </c>
      <c r="AG60" s="43" t="n">
        <v>0</v>
      </c>
      <c r="AH60" s="43" t="n">
        <v>0</v>
      </c>
      <c r="AI60" s="43" t="n">
        <v>0</v>
      </c>
      <c r="AJ60" s="44"/>
      <c r="AK60" s="43" t="n">
        <v>0</v>
      </c>
      <c r="AL60" s="43" t="n">
        <v>15</v>
      </c>
      <c r="AM60" s="45" t="n">
        <v>0.7</v>
      </c>
      <c r="AN60" s="45" t="n">
        <v>0.3</v>
      </c>
      <c r="AO60" s="45" t="n">
        <v>1</v>
      </c>
      <c r="AP60" s="46" t="n">
        <v>1200</v>
      </c>
      <c r="AQ60" s="46" t="n">
        <v>1200</v>
      </c>
    </row>
    <row r="61" customFormat="false" ht="14.25" hidden="false" customHeight="false" outlineLevel="0" collapsed="false">
      <c r="A61" s="33" t="s">
        <v>204</v>
      </c>
      <c r="B61" s="33" t="n">
        <v>46174</v>
      </c>
      <c r="C61" s="34" t="s">
        <v>199</v>
      </c>
      <c r="D61" s="35" t="s">
        <v>186</v>
      </c>
      <c r="E61" s="35" t="s">
        <v>26</v>
      </c>
      <c r="F61" s="36" t="s">
        <v>200</v>
      </c>
      <c r="G61" s="37" t="s">
        <v>188</v>
      </c>
      <c r="H61" s="35" t="s">
        <v>112</v>
      </c>
      <c r="I61" s="35" t="s">
        <v>112</v>
      </c>
      <c r="J61" s="38" t="n">
        <v>22</v>
      </c>
      <c r="K61" s="47" t="n">
        <v>1</v>
      </c>
      <c r="L61" s="47" t="n">
        <v>1</v>
      </c>
      <c r="M61" s="47" t="n">
        <v>1</v>
      </c>
      <c r="N61" s="47" t="n">
        <v>1</v>
      </c>
      <c r="O61" s="40" t="n">
        <v>1</v>
      </c>
      <c r="P61" s="41" t="n">
        <v>1</v>
      </c>
      <c r="Q61" s="42" t="n">
        <v>4</v>
      </c>
      <c r="R61" s="42" t="n">
        <v>1</v>
      </c>
      <c r="S61" s="42" t="n">
        <v>5</v>
      </c>
      <c r="T61" s="42" t="n">
        <v>4</v>
      </c>
      <c r="U61" s="43" t="n">
        <v>0</v>
      </c>
      <c r="V61" s="43" t="n">
        <v>0</v>
      </c>
      <c r="W61" s="44" t="n">
        <v>0</v>
      </c>
      <c r="X61" s="44" t="n">
        <v>0</v>
      </c>
      <c r="Y61" s="43" t="n">
        <v>0</v>
      </c>
      <c r="Z61" s="43" t="n">
        <v>0</v>
      </c>
      <c r="AA61" s="44" t="n">
        <v>0</v>
      </c>
      <c r="AB61" s="44" t="n">
        <v>0</v>
      </c>
      <c r="AC61" s="43" t="n">
        <v>0</v>
      </c>
      <c r="AD61" s="43" t="n">
        <v>0</v>
      </c>
      <c r="AE61" s="44" t="n">
        <v>0</v>
      </c>
      <c r="AF61" s="44" t="n">
        <v>0</v>
      </c>
      <c r="AG61" s="43" t="n">
        <v>1</v>
      </c>
      <c r="AH61" s="43" t="n">
        <v>0</v>
      </c>
      <c r="AI61" s="43" t="n">
        <v>0</v>
      </c>
      <c r="AJ61" s="44"/>
      <c r="AK61" s="43" t="n">
        <v>0</v>
      </c>
      <c r="AL61" s="43" t="n">
        <v>0</v>
      </c>
      <c r="AM61" s="45" t="n">
        <v>0.7</v>
      </c>
      <c r="AN61" s="45" t="n">
        <v>0.3</v>
      </c>
      <c r="AO61" s="45" t="n">
        <v>1</v>
      </c>
      <c r="AP61" s="46" t="n">
        <v>1200</v>
      </c>
      <c r="AQ61" s="46" t="n">
        <v>1200</v>
      </c>
    </row>
    <row r="62" customFormat="false" ht="14.25" hidden="false" customHeight="false" outlineLevel="0" collapsed="false">
      <c r="A62" s="33" t="s">
        <v>205</v>
      </c>
      <c r="B62" s="33" t="n">
        <v>46189</v>
      </c>
      <c r="C62" s="34" t="s">
        <v>199</v>
      </c>
      <c r="D62" s="35" t="s">
        <v>148</v>
      </c>
      <c r="E62" s="35" t="s">
        <v>25</v>
      </c>
      <c r="F62" s="36" t="s">
        <v>206</v>
      </c>
      <c r="G62" s="37" t="s">
        <v>150</v>
      </c>
      <c r="H62" s="35" t="s">
        <v>112</v>
      </c>
      <c r="I62" s="35" t="s">
        <v>112</v>
      </c>
      <c r="J62" s="38" t="n">
        <v>22</v>
      </c>
      <c r="K62" s="47" t="n">
        <v>1</v>
      </c>
      <c r="L62" s="47" t="n">
        <v>1</v>
      </c>
      <c r="M62" s="47" t="n">
        <v>1</v>
      </c>
      <c r="N62" s="47" t="n">
        <v>1</v>
      </c>
      <c r="O62" s="40" t="n">
        <v>1</v>
      </c>
      <c r="P62" s="41" t="n">
        <v>1</v>
      </c>
      <c r="Q62" s="42" t="n">
        <v>6</v>
      </c>
      <c r="R62" s="42" t="n">
        <v>2</v>
      </c>
      <c r="S62" s="42" t="n">
        <v>8</v>
      </c>
      <c r="T62" s="42" t="n">
        <v>3</v>
      </c>
      <c r="U62" s="43" t="n">
        <v>0</v>
      </c>
      <c r="V62" s="43" t="n">
        <v>0</v>
      </c>
      <c r="W62" s="44" t="n">
        <v>0</v>
      </c>
      <c r="X62" s="44" t="n">
        <v>0</v>
      </c>
      <c r="Y62" s="43" t="n">
        <v>0</v>
      </c>
      <c r="Z62" s="43" t="n">
        <v>0</v>
      </c>
      <c r="AA62" s="44" t="n">
        <v>0</v>
      </c>
      <c r="AB62" s="44" t="n">
        <v>0</v>
      </c>
      <c r="AC62" s="43" t="n">
        <v>0</v>
      </c>
      <c r="AD62" s="43" t="n">
        <v>0</v>
      </c>
      <c r="AE62" s="44" t="n">
        <v>0</v>
      </c>
      <c r="AF62" s="44" t="n">
        <v>0</v>
      </c>
      <c r="AG62" s="43" t="n">
        <v>0</v>
      </c>
      <c r="AH62" s="43" t="n">
        <v>0</v>
      </c>
      <c r="AI62" s="43" t="n">
        <v>0</v>
      </c>
      <c r="AJ62" s="44"/>
      <c r="AK62" s="43" t="n">
        <v>0</v>
      </c>
      <c r="AL62" s="43" t="n">
        <v>0</v>
      </c>
      <c r="AM62" s="45" t="n">
        <v>0.7</v>
      </c>
      <c r="AN62" s="45" t="n">
        <v>0.3</v>
      </c>
      <c r="AO62" s="45" t="n">
        <v>1</v>
      </c>
      <c r="AP62" s="46" t="n">
        <v>1200</v>
      </c>
      <c r="AQ62" s="46" t="n">
        <v>1200</v>
      </c>
    </row>
    <row r="63" customFormat="false" ht="14.25" hidden="false" customHeight="false" outlineLevel="0" collapsed="false">
      <c r="A63" s="33" t="s">
        <v>207</v>
      </c>
      <c r="B63" s="33" t="n">
        <v>46235</v>
      </c>
      <c r="C63" s="34" t="s">
        <v>176</v>
      </c>
      <c r="D63" s="35" t="s">
        <v>186</v>
      </c>
      <c r="E63" s="35" t="s">
        <v>27</v>
      </c>
      <c r="F63" s="36" t="s">
        <v>208</v>
      </c>
      <c r="G63" s="37" t="s">
        <v>188</v>
      </c>
      <c r="H63" s="35" t="s">
        <v>112</v>
      </c>
      <c r="I63" s="35" t="s">
        <v>112</v>
      </c>
      <c r="J63" s="38" t="n">
        <v>22</v>
      </c>
      <c r="K63" s="47" t="n">
        <v>1</v>
      </c>
      <c r="L63" s="47" t="n">
        <v>1</v>
      </c>
      <c r="M63" s="47" t="n">
        <v>1</v>
      </c>
      <c r="N63" s="47" t="n">
        <v>1</v>
      </c>
      <c r="O63" s="40" t="n">
        <v>1</v>
      </c>
      <c r="P63" s="41" t="n">
        <v>1</v>
      </c>
      <c r="Q63" s="42" t="n">
        <v>3</v>
      </c>
      <c r="R63" s="42" t="n">
        <v>1</v>
      </c>
      <c r="S63" s="42" t="n">
        <v>4</v>
      </c>
      <c r="T63" s="42" t="n">
        <v>2</v>
      </c>
      <c r="U63" s="43" t="n">
        <v>0</v>
      </c>
      <c r="V63" s="43" t="n">
        <v>0</v>
      </c>
      <c r="W63" s="44" t="n">
        <v>0</v>
      </c>
      <c r="X63" s="44" t="n">
        <v>0</v>
      </c>
      <c r="Y63" s="43" t="n">
        <v>0</v>
      </c>
      <c r="Z63" s="43" t="n">
        <v>0</v>
      </c>
      <c r="AA63" s="44" t="n">
        <v>0</v>
      </c>
      <c r="AB63" s="44" t="n">
        <v>0</v>
      </c>
      <c r="AC63" s="43" t="n">
        <v>0</v>
      </c>
      <c r="AD63" s="43" t="n">
        <v>0</v>
      </c>
      <c r="AE63" s="44" t="n">
        <v>0</v>
      </c>
      <c r="AF63" s="44" t="n">
        <v>0</v>
      </c>
      <c r="AG63" s="43" t="n">
        <v>0</v>
      </c>
      <c r="AH63" s="43" t="n">
        <v>1</v>
      </c>
      <c r="AI63" s="43" t="n">
        <v>0</v>
      </c>
      <c r="AJ63" s="44"/>
      <c r="AK63" s="43" t="n">
        <v>0</v>
      </c>
      <c r="AL63" s="43" t="n">
        <v>0</v>
      </c>
      <c r="AM63" s="45" t="n">
        <v>0.7</v>
      </c>
      <c r="AN63" s="45" t="n">
        <v>0.3</v>
      </c>
      <c r="AO63" s="45" t="n">
        <v>1</v>
      </c>
      <c r="AP63" s="46" t="n">
        <v>1200</v>
      </c>
      <c r="AQ63" s="46" t="n">
        <v>1200</v>
      </c>
    </row>
    <row r="64" customFormat="false" ht="14.25" hidden="false" customHeight="false" outlineLevel="0" collapsed="false">
      <c r="A64" s="33" t="s">
        <v>209</v>
      </c>
      <c r="B64" s="33" t="n">
        <v>46235</v>
      </c>
      <c r="C64" s="34" t="s">
        <v>176</v>
      </c>
      <c r="D64" s="35" t="s">
        <v>186</v>
      </c>
      <c r="E64" s="35" t="s">
        <v>27</v>
      </c>
      <c r="F64" s="36" t="s">
        <v>208</v>
      </c>
      <c r="G64" s="37" t="s">
        <v>188</v>
      </c>
      <c r="H64" s="35" t="s">
        <v>112</v>
      </c>
      <c r="I64" s="35" t="s">
        <v>112</v>
      </c>
      <c r="J64" s="38" t="n">
        <v>22</v>
      </c>
      <c r="K64" s="47" t="n">
        <v>1</v>
      </c>
      <c r="L64" s="47" t="n">
        <v>1</v>
      </c>
      <c r="M64" s="47" t="n">
        <v>1</v>
      </c>
      <c r="N64" s="47" t="n">
        <v>1</v>
      </c>
      <c r="O64" s="40" t="n">
        <v>1</v>
      </c>
      <c r="P64" s="41" t="n">
        <v>1</v>
      </c>
      <c r="Q64" s="42" t="n">
        <v>3</v>
      </c>
      <c r="R64" s="42" t="n">
        <v>1</v>
      </c>
      <c r="S64" s="42" t="n">
        <v>4</v>
      </c>
      <c r="T64" s="42" t="n">
        <v>2</v>
      </c>
      <c r="U64" s="43" t="n">
        <v>1</v>
      </c>
      <c r="V64" s="43" t="n">
        <v>1</v>
      </c>
      <c r="W64" s="44" t="n">
        <v>1</v>
      </c>
      <c r="X64" s="44" t="n">
        <v>1</v>
      </c>
      <c r="Y64" s="43" t="n">
        <v>0</v>
      </c>
      <c r="Z64" s="43" t="n">
        <v>1</v>
      </c>
      <c r="AA64" s="44" t="n">
        <v>1</v>
      </c>
      <c r="AB64" s="44" t="n">
        <v>1</v>
      </c>
      <c r="AC64" s="43" t="n">
        <v>0</v>
      </c>
      <c r="AD64" s="43" t="n">
        <v>0</v>
      </c>
      <c r="AE64" s="44" t="n">
        <v>0</v>
      </c>
      <c r="AF64" s="44" t="n">
        <v>0</v>
      </c>
      <c r="AG64" s="43" t="n">
        <v>1</v>
      </c>
      <c r="AH64" s="43" t="n">
        <v>0</v>
      </c>
      <c r="AI64" s="43" t="n">
        <v>0</v>
      </c>
      <c r="AJ64" s="44"/>
      <c r="AK64" s="43" t="n">
        <v>0</v>
      </c>
      <c r="AL64" s="43" t="n">
        <v>8</v>
      </c>
      <c r="AM64" s="45" t="n">
        <v>0.7</v>
      </c>
      <c r="AN64" s="45" t="n">
        <v>0.3</v>
      </c>
      <c r="AO64" s="45" t="n">
        <v>1</v>
      </c>
      <c r="AP64" s="46" t="n">
        <v>1200</v>
      </c>
      <c r="AQ64" s="46" t="n">
        <v>1200</v>
      </c>
    </row>
    <row r="65" customFormat="false" ht="14.25" hidden="false" customHeight="false" outlineLevel="0" collapsed="false">
      <c r="A65" s="33" t="s">
        <v>210</v>
      </c>
      <c r="B65" s="33" t="n">
        <v>46248</v>
      </c>
      <c r="C65" s="34" t="s">
        <v>176</v>
      </c>
      <c r="D65" s="35" t="s">
        <v>186</v>
      </c>
      <c r="E65" s="35" t="s">
        <v>27</v>
      </c>
      <c r="F65" s="36" t="s">
        <v>208</v>
      </c>
      <c r="G65" s="37" t="s">
        <v>188</v>
      </c>
      <c r="H65" s="35" t="s">
        <v>112</v>
      </c>
      <c r="I65" s="35" t="s">
        <v>112</v>
      </c>
      <c r="J65" s="38" t="n">
        <v>22</v>
      </c>
      <c r="K65" s="47" t="n">
        <v>1</v>
      </c>
      <c r="L65" s="47" t="n">
        <v>1</v>
      </c>
      <c r="M65" s="47" t="n">
        <v>1</v>
      </c>
      <c r="N65" s="47" t="n">
        <v>1</v>
      </c>
      <c r="O65" s="40" t="n">
        <v>1</v>
      </c>
      <c r="P65" s="41" t="n">
        <v>1</v>
      </c>
      <c r="Q65" s="42" t="n">
        <v>3</v>
      </c>
      <c r="R65" s="42" t="n">
        <v>1</v>
      </c>
      <c r="S65" s="42" t="n">
        <v>4</v>
      </c>
      <c r="T65" s="42" t="n">
        <v>2</v>
      </c>
      <c r="U65" s="43" t="n">
        <v>0</v>
      </c>
      <c r="V65" s="43" t="n">
        <v>0</v>
      </c>
      <c r="W65" s="44" t="n">
        <v>0</v>
      </c>
      <c r="X65" s="44" t="n">
        <v>0</v>
      </c>
      <c r="Y65" s="43" t="n">
        <v>0</v>
      </c>
      <c r="Z65" s="43" t="n">
        <v>0</v>
      </c>
      <c r="AA65" s="44" t="n">
        <v>0</v>
      </c>
      <c r="AB65" s="44" t="n">
        <v>0</v>
      </c>
      <c r="AC65" s="43" t="n">
        <v>0</v>
      </c>
      <c r="AD65" s="43" t="n">
        <v>0</v>
      </c>
      <c r="AE65" s="44" t="n">
        <v>0</v>
      </c>
      <c r="AF65" s="44" t="n">
        <v>0</v>
      </c>
      <c r="AG65" s="43" t="n">
        <v>0</v>
      </c>
      <c r="AH65" s="43" t="n">
        <v>1</v>
      </c>
      <c r="AI65" s="43" t="n">
        <v>0</v>
      </c>
      <c r="AJ65" s="44"/>
      <c r="AK65" s="43" t="n">
        <v>0</v>
      </c>
      <c r="AL65" s="43" t="n">
        <v>0</v>
      </c>
      <c r="AM65" s="45" t="n">
        <v>0.7</v>
      </c>
      <c r="AN65" s="45" t="n">
        <v>0.3</v>
      </c>
      <c r="AO65" s="45" t="n">
        <v>1</v>
      </c>
      <c r="AP65" s="46" t="n">
        <v>1200</v>
      </c>
      <c r="AQ65" s="46" t="n">
        <v>1200</v>
      </c>
    </row>
    <row r="66" customFormat="false" ht="14.25" hidden="false" customHeight="false" outlineLevel="0" collapsed="false">
      <c r="A66" s="33" t="s">
        <v>211</v>
      </c>
      <c r="B66" s="33" t="n">
        <v>46183</v>
      </c>
      <c r="C66" s="34" t="s">
        <v>199</v>
      </c>
      <c r="D66" s="35" t="s">
        <v>186</v>
      </c>
      <c r="E66" s="35" t="s">
        <v>27</v>
      </c>
      <c r="F66" s="36" t="s">
        <v>208</v>
      </c>
      <c r="G66" s="37" t="s">
        <v>188</v>
      </c>
      <c r="H66" s="35" t="s">
        <v>112</v>
      </c>
      <c r="I66" s="35" t="s">
        <v>112</v>
      </c>
      <c r="J66" s="38" t="n">
        <v>22</v>
      </c>
      <c r="K66" s="47" t="n">
        <v>1</v>
      </c>
      <c r="L66" s="47" t="n">
        <v>1</v>
      </c>
      <c r="M66" s="47" t="n">
        <v>1</v>
      </c>
      <c r="N66" s="47" t="n">
        <v>1</v>
      </c>
      <c r="O66" s="40" t="n">
        <v>1</v>
      </c>
      <c r="P66" s="41" t="n">
        <v>1</v>
      </c>
      <c r="Q66" s="42" t="n">
        <v>3</v>
      </c>
      <c r="R66" s="42" t="n">
        <v>1</v>
      </c>
      <c r="S66" s="42" t="n">
        <v>4</v>
      </c>
      <c r="T66" s="42" t="n">
        <v>2</v>
      </c>
      <c r="U66" s="43" t="n">
        <v>1</v>
      </c>
      <c r="V66" s="43" t="n">
        <v>1</v>
      </c>
      <c r="W66" s="44" t="n">
        <v>1</v>
      </c>
      <c r="X66" s="44" t="n">
        <v>1</v>
      </c>
      <c r="Y66" s="43" t="n">
        <v>0</v>
      </c>
      <c r="Z66" s="43" t="n">
        <v>0</v>
      </c>
      <c r="AA66" s="44" t="n">
        <v>0</v>
      </c>
      <c r="AB66" s="44" t="n">
        <v>0</v>
      </c>
      <c r="AC66" s="43" t="n">
        <v>0</v>
      </c>
      <c r="AD66" s="43" t="n">
        <v>0</v>
      </c>
      <c r="AE66" s="44" t="n">
        <v>0</v>
      </c>
      <c r="AF66" s="44" t="n">
        <v>0</v>
      </c>
      <c r="AG66" s="43" t="n">
        <v>0</v>
      </c>
      <c r="AH66" s="43" t="n">
        <v>0</v>
      </c>
      <c r="AI66" s="43" t="n">
        <v>1</v>
      </c>
      <c r="AJ66" s="44"/>
      <c r="AK66" s="43" t="n">
        <v>0</v>
      </c>
      <c r="AL66" s="43" t="n">
        <v>4</v>
      </c>
      <c r="AM66" s="45" t="n">
        <v>0.7</v>
      </c>
      <c r="AN66" s="45" t="n">
        <v>0.3</v>
      </c>
      <c r="AO66" s="45" t="n">
        <v>1</v>
      </c>
      <c r="AP66" s="46" t="n">
        <v>1200</v>
      </c>
      <c r="AQ66" s="46" t="n">
        <v>1200</v>
      </c>
    </row>
    <row r="67" customFormat="false" ht="14.25" hidden="false" customHeight="false" outlineLevel="0" collapsed="false">
      <c r="A67" s="33" t="s">
        <v>212</v>
      </c>
      <c r="B67" s="33" t="n">
        <v>46251</v>
      </c>
      <c r="C67" s="34" t="s">
        <v>176</v>
      </c>
      <c r="D67" s="35" t="s">
        <v>186</v>
      </c>
      <c r="E67" s="35" t="s">
        <v>30</v>
      </c>
      <c r="F67" s="36" t="s">
        <v>213</v>
      </c>
      <c r="G67" s="37" t="s">
        <v>214</v>
      </c>
      <c r="H67" s="35" t="s">
        <v>112</v>
      </c>
      <c r="I67" s="35" t="s">
        <v>112</v>
      </c>
      <c r="J67" s="38" t="n">
        <v>22</v>
      </c>
      <c r="K67" s="47" t="n">
        <v>1</v>
      </c>
      <c r="L67" s="47" t="n">
        <v>1</v>
      </c>
      <c r="M67" s="47" t="n">
        <v>1</v>
      </c>
      <c r="N67" s="47" t="n">
        <v>1</v>
      </c>
      <c r="O67" s="40" t="n">
        <v>1</v>
      </c>
      <c r="P67" s="41" t="n">
        <v>1</v>
      </c>
      <c r="Q67" s="42" t="n">
        <v>4</v>
      </c>
      <c r="R67" s="42" t="n">
        <v>0</v>
      </c>
      <c r="S67" s="42" t="n">
        <v>4</v>
      </c>
      <c r="T67" s="42" t="n">
        <v>2</v>
      </c>
      <c r="U67" s="43" t="n">
        <v>0</v>
      </c>
      <c r="V67" s="43" t="n">
        <v>0</v>
      </c>
      <c r="W67" s="44" t="n">
        <v>0</v>
      </c>
      <c r="X67" s="44" t="n">
        <v>0</v>
      </c>
      <c r="Y67" s="43" t="n">
        <v>0</v>
      </c>
      <c r="Z67" s="43" t="n">
        <v>0</v>
      </c>
      <c r="AA67" s="44" t="n">
        <v>0</v>
      </c>
      <c r="AB67" s="44" t="n">
        <v>0</v>
      </c>
      <c r="AC67" s="43" t="n">
        <v>0</v>
      </c>
      <c r="AD67" s="43" t="n">
        <v>0</v>
      </c>
      <c r="AE67" s="44" t="n">
        <v>0</v>
      </c>
      <c r="AF67" s="44" t="n">
        <v>0</v>
      </c>
      <c r="AG67" s="43" t="n">
        <v>0</v>
      </c>
      <c r="AH67" s="43" t="n">
        <v>0</v>
      </c>
      <c r="AI67" s="43" t="n">
        <v>0</v>
      </c>
      <c r="AJ67" s="44"/>
      <c r="AK67" s="43" t="n">
        <v>0</v>
      </c>
      <c r="AL67" s="43" t="n">
        <v>0</v>
      </c>
      <c r="AM67" s="45" t="n">
        <v>0.7</v>
      </c>
      <c r="AN67" s="45" t="n">
        <v>0.3</v>
      </c>
      <c r="AO67" s="45" t="n">
        <v>1</v>
      </c>
      <c r="AP67" s="46" t="n">
        <v>1200</v>
      </c>
      <c r="AQ67" s="46" t="n">
        <v>1200</v>
      </c>
    </row>
    <row r="68" customFormat="false" ht="14.25" hidden="false" customHeight="false" outlineLevel="0" collapsed="false">
      <c r="A68" s="33" t="s">
        <v>215</v>
      </c>
      <c r="B68" s="33" t="n">
        <v>46235</v>
      </c>
      <c r="C68" s="34" t="s">
        <v>176</v>
      </c>
      <c r="D68" s="35" t="s">
        <v>186</v>
      </c>
      <c r="E68" s="35" t="s">
        <v>30</v>
      </c>
      <c r="F68" s="36" t="s">
        <v>213</v>
      </c>
      <c r="G68" s="37" t="s">
        <v>214</v>
      </c>
      <c r="H68" s="35" t="s">
        <v>112</v>
      </c>
      <c r="I68" s="35" t="s">
        <v>112</v>
      </c>
      <c r="J68" s="38" t="n">
        <v>22</v>
      </c>
      <c r="K68" s="47" t="n">
        <v>1</v>
      </c>
      <c r="L68" s="47" t="n">
        <v>1</v>
      </c>
      <c r="M68" s="47" t="n">
        <v>1</v>
      </c>
      <c r="N68" s="47" t="n">
        <v>1</v>
      </c>
      <c r="O68" s="40" t="n">
        <v>1</v>
      </c>
      <c r="P68" s="41" t="n">
        <v>1</v>
      </c>
      <c r="Q68" s="42" t="n">
        <v>4</v>
      </c>
      <c r="R68" s="42" t="n">
        <v>0</v>
      </c>
      <c r="S68" s="42" t="n">
        <v>4</v>
      </c>
      <c r="T68" s="42" t="n">
        <v>3</v>
      </c>
      <c r="U68" s="43" t="n">
        <v>2</v>
      </c>
      <c r="V68" s="43" t="n">
        <v>2</v>
      </c>
      <c r="W68" s="44" t="n">
        <v>2</v>
      </c>
      <c r="X68" s="44" t="n">
        <v>3</v>
      </c>
      <c r="Y68" s="43" t="n">
        <v>0</v>
      </c>
      <c r="Z68" s="43" t="n">
        <v>0</v>
      </c>
      <c r="AA68" s="44" t="n">
        <v>0</v>
      </c>
      <c r="AB68" s="44" t="n">
        <v>0</v>
      </c>
      <c r="AC68" s="43" t="n">
        <v>0</v>
      </c>
      <c r="AD68" s="43" t="n">
        <v>0</v>
      </c>
      <c r="AE68" s="44" t="n">
        <v>0</v>
      </c>
      <c r="AF68" s="44" t="n">
        <v>0</v>
      </c>
      <c r="AG68" s="43" t="n">
        <v>0</v>
      </c>
      <c r="AH68" s="43" t="n">
        <v>0</v>
      </c>
      <c r="AI68" s="43" t="n">
        <v>0</v>
      </c>
      <c r="AJ68" s="44"/>
      <c r="AK68" s="43" t="n">
        <v>0</v>
      </c>
      <c r="AL68" s="43" t="n">
        <v>9</v>
      </c>
      <c r="AM68" s="45" t="n">
        <v>0.7</v>
      </c>
      <c r="AN68" s="45" t="n">
        <v>0.3</v>
      </c>
      <c r="AO68" s="45" t="n">
        <v>1</v>
      </c>
      <c r="AP68" s="46" t="n">
        <v>1200</v>
      </c>
      <c r="AQ68" s="46" t="n">
        <v>1200</v>
      </c>
    </row>
    <row r="69" customFormat="false" ht="14.25" hidden="false" customHeight="false" outlineLevel="0" collapsed="false">
      <c r="A69" s="33" t="s">
        <v>216</v>
      </c>
      <c r="B69" s="33" t="n">
        <v>46248</v>
      </c>
      <c r="C69" s="34" t="s">
        <v>176</v>
      </c>
      <c r="D69" s="35" t="s">
        <v>186</v>
      </c>
      <c r="E69" s="35" t="s">
        <v>27</v>
      </c>
      <c r="F69" s="36" t="s">
        <v>194</v>
      </c>
      <c r="G69" s="37" t="s">
        <v>188</v>
      </c>
      <c r="H69" s="35" t="s">
        <v>112</v>
      </c>
      <c r="I69" s="35" t="s">
        <v>112</v>
      </c>
      <c r="J69" s="38" t="n">
        <v>22</v>
      </c>
      <c r="K69" s="47" t="n">
        <v>1</v>
      </c>
      <c r="L69" s="47" t="n">
        <v>1</v>
      </c>
      <c r="M69" s="47" t="n">
        <v>1</v>
      </c>
      <c r="N69" s="47" t="n">
        <v>1</v>
      </c>
      <c r="O69" s="40" t="n">
        <v>1</v>
      </c>
      <c r="P69" s="41" t="n">
        <v>1</v>
      </c>
      <c r="Q69" s="42" t="n">
        <v>3</v>
      </c>
      <c r="R69" s="42" t="n">
        <v>1</v>
      </c>
      <c r="S69" s="42" t="n">
        <v>4</v>
      </c>
      <c r="T69" s="42" t="n">
        <v>2</v>
      </c>
      <c r="U69" s="43" t="n">
        <v>0</v>
      </c>
      <c r="V69" s="43" t="n">
        <v>0</v>
      </c>
      <c r="W69" s="44" t="n">
        <v>0</v>
      </c>
      <c r="X69" s="44" t="n">
        <v>0</v>
      </c>
      <c r="Y69" s="43" t="n">
        <v>0</v>
      </c>
      <c r="Z69" s="43" t="n">
        <v>0</v>
      </c>
      <c r="AA69" s="44" t="n">
        <v>0</v>
      </c>
      <c r="AB69" s="44" t="n">
        <v>0</v>
      </c>
      <c r="AC69" s="43" t="n">
        <v>0</v>
      </c>
      <c r="AD69" s="43" t="n">
        <v>0</v>
      </c>
      <c r="AE69" s="44" t="n">
        <v>0</v>
      </c>
      <c r="AF69" s="44" t="n">
        <v>0</v>
      </c>
      <c r="AG69" s="43" t="n">
        <v>0</v>
      </c>
      <c r="AH69" s="43" t="n">
        <v>0</v>
      </c>
      <c r="AI69" s="43" t="n">
        <v>0</v>
      </c>
      <c r="AJ69" s="44"/>
      <c r="AK69" s="43" t="n">
        <v>0</v>
      </c>
      <c r="AL69" s="43" t="n">
        <v>0</v>
      </c>
      <c r="AM69" s="45" t="n">
        <v>0.7</v>
      </c>
      <c r="AN69" s="45" t="n">
        <v>0.3</v>
      </c>
      <c r="AO69" s="45" t="n">
        <v>1</v>
      </c>
      <c r="AP69" s="46" t="n">
        <v>1200</v>
      </c>
      <c r="AQ69" s="46" t="n">
        <v>1200</v>
      </c>
    </row>
    <row r="70" customFormat="false" ht="14.25" hidden="false" customHeight="false" outlineLevel="0" collapsed="false">
      <c r="A70" s="33" t="s">
        <v>217</v>
      </c>
      <c r="B70" s="33" t="n">
        <v>45488</v>
      </c>
      <c r="C70" s="34" t="s">
        <v>108</v>
      </c>
      <c r="D70" s="35" t="s">
        <v>177</v>
      </c>
      <c r="E70" s="35" t="s">
        <v>32</v>
      </c>
      <c r="F70" s="36" t="s">
        <v>178</v>
      </c>
      <c r="G70" s="37" t="s">
        <v>179</v>
      </c>
      <c r="H70" s="35" t="s">
        <v>112</v>
      </c>
      <c r="I70" s="35" t="s">
        <v>112</v>
      </c>
      <c r="J70" s="38" t="n">
        <v>16.5</v>
      </c>
      <c r="K70" s="47" t="n">
        <v>1</v>
      </c>
      <c r="L70" s="47" t="n">
        <v>1</v>
      </c>
      <c r="M70" s="47" t="n">
        <v>1</v>
      </c>
      <c r="N70" s="47" t="n">
        <v>0</v>
      </c>
      <c r="O70" s="40" t="n">
        <v>0.75</v>
      </c>
      <c r="P70" s="41" t="n">
        <v>0.75</v>
      </c>
      <c r="Q70" s="42" t="n">
        <v>17</v>
      </c>
      <c r="R70" s="42" t="n">
        <v>0</v>
      </c>
      <c r="S70" s="42" t="n">
        <v>17</v>
      </c>
      <c r="T70" s="42" t="n">
        <v>8</v>
      </c>
      <c r="U70" s="43" t="n">
        <v>0</v>
      </c>
      <c r="V70" s="43" t="n">
        <v>0</v>
      </c>
      <c r="W70" s="44" t="n">
        <v>0</v>
      </c>
      <c r="X70" s="44" t="n">
        <v>0</v>
      </c>
      <c r="Y70" s="43" t="n">
        <v>0</v>
      </c>
      <c r="Z70" s="43" t="n">
        <v>0</v>
      </c>
      <c r="AA70" s="44" t="n">
        <v>0</v>
      </c>
      <c r="AB70" s="44" t="n">
        <v>0</v>
      </c>
      <c r="AC70" s="43" t="n">
        <v>0</v>
      </c>
      <c r="AD70" s="43" t="n">
        <v>0</v>
      </c>
      <c r="AE70" s="44" t="n">
        <v>0</v>
      </c>
      <c r="AF70" s="44" t="n">
        <v>0</v>
      </c>
      <c r="AG70" s="43" t="n">
        <v>0</v>
      </c>
      <c r="AH70" s="43" t="n">
        <v>0</v>
      </c>
      <c r="AI70" s="43" t="n">
        <v>0</v>
      </c>
      <c r="AJ70" s="44"/>
      <c r="AK70" s="43" t="n">
        <v>3</v>
      </c>
      <c r="AL70" s="43" t="n">
        <v>3</v>
      </c>
      <c r="AM70" s="45" t="n">
        <v>0.7</v>
      </c>
      <c r="AN70" s="45" t="n">
        <v>0.3</v>
      </c>
      <c r="AO70" s="45" t="n">
        <v>0.75</v>
      </c>
      <c r="AP70" s="46" t="n">
        <v>1200</v>
      </c>
      <c r="AQ70" s="46" t="n">
        <v>900</v>
      </c>
    </row>
    <row r="71" customFormat="false" ht="14.25" hidden="false" customHeight="false" outlineLevel="0" collapsed="false">
      <c r="A71" s="33" t="s">
        <v>218</v>
      </c>
      <c r="B71" s="33" t="n">
        <v>46097</v>
      </c>
      <c r="C71" s="34" t="s">
        <v>219</v>
      </c>
      <c r="D71" s="35" t="s">
        <v>177</v>
      </c>
      <c r="E71" s="35" t="s">
        <v>32</v>
      </c>
      <c r="F71" s="36" t="s">
        <v>178</v>
      </c>
      <c r="G71" s="37" t="s">
        <v>179</v>
      </c>
      <c r="H71" s="35" t="s">
        <v>112</v>
      </c>
      <c r="I71" s="35" t="s">
        <v>112</v>
      </c>
      <c r="J71" s="38" t="n">
        <v>22</v>
      </c>
      <c r="K71" s="47" t="n">
        <v>1</v>
      </c>
      <c r="L71" s="47" t="n">
        <v>1</v>
      </c>
      <c r="M71" s="47" t="n">
        <v>1</v>
      </c>
      <c r="N71" s="47" t="n">
        <v>1</v>
      </c>
      <c r="O71" s="40" t="n">
        <v>1</v>
      </c>
      <c r="P71" s="41" t="n">
        <v>1</v>
      </c>
      <c r="Q71" s="42" t="n">
        <v>23</v>
      </c>
      <c r="R71" s="42" t="n">
        <v>0</v>
      </c>
      <c r="S71" s="42" t="n">
        <v>23</v>
      </c>
      <c r="T71" s="42" t="n">
        <v>11</v>
      </c>
      <c r="U71" s="43" t="n">
        <v>0</v>
      </c>
      <c r="V71" s="43" t="n">
        <v>0</v>
      </c>
      <c r="W71" s="44" t="n">
        <v>0</v>
      </c>
      <c r="X71" s="44" t="n">
        <v>0</v>
      </c>
      <c r="Y71" s="43" t="n">
        <v>0</v>
      </c>
      <c r="Z71" s="43" t="n">
        <v>0</v>
      </c>
      <c r="AA71" s="44" t="n">
        <v>0</v>
      </c>
      <c r="AB71" s="44" t="n">
        <v>0</v>
      </c>
      <c r="AC71" s="43" t="n">
        <v>0</v>
      </c>
      <c r="AD71" s="43" t="n">
        <v>0</v>
      </c>
      <c r="AE71" s="44" t="n">
        <v>0</v>
      </c>
      <c r="AF71" s="44" t="n">
        <v>0</v>
      </c>
      <c r="AG71" s="43" t="n">
        <v>0</v>
      </c>
      <c r="AH71" s="43" t="n">
        <v>0</v>
      </c>
      <c r="AI71" s="43" t="n">
        <v>0</v>
      </c>
      <c r="AJ71" s="44"/>
      <c r="AK71" s="43" t="n">
        <v>3</v>
      </c>
      <c r="AL71" s="43" t="n">
        <v>3</v>
      </c>
      <c r="AM71" s="45" t="n">
        <v>0.7</v>
      </c>
      <c r="AN71" s="45" t="n">
        <v>0.3</v>
      </c>
      <c r="AO71" s="45" t="n">
        <v>1</v>
      </c>
      <c r="AP71" s="46" t="n">
        <v>1200</v>
      </c>
      <c r="AQ71" s="46" t="n">
        <v>1200</v>
      </c>
    </row>
    <row r="72" customFormat="false" ht="14.25" hidden="false" customHeight="false" outlineLevel="0" collapsed="false">
      <c r="A72" s="33" t="s">
        <v>220</v>
      </c>
      <c r="B72" s="33" t="n">
        <v>43745</v>
      </c>
      <c r="C72" s="34" t="s">
        <v>108</v>
      </c>
      <c r="D72" s="35" t="s">
        <v>177</v>
      </c>
      <c r="E72" s="35" t="s">
        <v>32</v>
      </c>
      <c r="F72" s="36" t="s">
        <v>178</v>
      </c>
      <c r="G72" s="37" t="s">
        <v>179</v>
      </c>
      <c r="H72" s="35" t="s">
        <v>112</v>
      </c>
      <c r="I72" s="35" t="s">
        <v>112</v>
      </c>
      <c r="J72" s="38" t="n">
        <v>20</v>
      </c>
      <c r="K72" s="47" t="n">
        <v>1</v>
      </c>
      <c r="L72" s="47" t="n">
        <v>0.636363636363636</v>
      </c>
      <c r="M72" s="47" t="n">
        <v>1</v>
      </c>
      <c r="N72" s="47" t="n">
        <v>1</v>
      </c>
      <c r="O72" s="40" t="n">
        <v>0.909090909090909</v>
      </c>
      <c r="P72" s="41" t="n">
        <v>0.909090909090909</v>
      </c>
      <c r="Q72" s="42" t="n">
        <v>21</v>
      </c>
      <c r="R72" s="42" t="n">
        <v>0</v>
      </c>
      <c r="S72" s="42" t="n">
        <v>21</v>
      </c>
      <c r="T72" s="42" t="n">
        <v>10</v>
      </c>
      <c r="U72" s="43" t="n">
        <v>0</v>
      </c>
      <c r="V72" s="43" t="n">
        <v>0</v>
      </c>
      <c r="W72" s="44" t="n">
        <v>0</v>
      </c>
      <c r="X72" s="44" t="n">
        <v>0</v>
      </c>
      <c r="Y72" s="43" t="n">
        <v>0</v>
      </c>
      <c r="Z72" s="43" t="n">
        <v>0</v>
      </c>
      <c r="AA72" s="44" t="n">
        <v>0</v>
      </c>
      <c r="AB72" s="44" t="n">
        <v>0</v>
      </c>
      <c r="AC72" s="43" t="n">
        <v>0</v>
      </c>
      <c r="AD72" s="43" t="n">
        <v>0</v>
      </c>
      <c r="AE72" s="44" t="n">
        <v>0</v>
      </c>
      <c r="AF72" s="44" t="n">
        <v>0</v>
      </c>
      <c r="AG72" s="43" t="n">
        <v>0</v>
      </c>
      <c r="AH72" s="43" t="n">
        <v>0</v>
      </c>
      <c r="AI72" s="43" t="n">
        <v>0</v>
      </c>
      <c r="AJ72" s="44"/>
      <c r="AK72" s="43" t="n">
        <v>2</v>
      </c>
      <c r="AL72" s="43" t="n">
        <v>2</v>
      </c>
      <c r="AM72" s="45" t="n">
        <v>0.7</v>
      </c>
      <c r="AN72" s="45" t="n">
        <v>0.3</v>
      </c>
      <c r="AO72" s="45" t="n">
        <v>0.909090909090909</v>
      </c>
      <c r="AP72" s="46" t="n">
        <v>1200</v>
      </c>
      <c r="AQ72" s="46" t="n">
        <v>1091</v>
      </c>
    </row>
    <row r="73" customFormat="false" ht="14.25" hidden="false" customHeight="false" outlineLevel="0" collapsed="false">
      <c r="A73" s="33" t="s">
        <v>221</v>
      </c>
      <c r="B73" s="33" t="n">
        <v>46036</v>
      </c>
      <c r="C73" s="34" t="s">
        <v>173</v>
      </c>
      <c r="D73" s="35" t="s">
        <v>177</v>
      </c>
      <c r="E73" s="35" t="s">
        <v>32</v>
      </c>
      <c r="F73" s="36" t="s">
        <v>178</v>
      </c>
      <c r="G73" s="37" t="s">
        <v>179</v>
      </c>
      <c r="H73" s="35" t="s">
        <v>112</v>
      </c>
      <c r="I73" s="35" t="s">
        <v>112</v>
      </c>
      <c r="J73" s="38" t="n">
        <v>22</v>
      </c>
      <c r="K73" s="47" t="n">
        <v>1</v>
      </c>
      <c r="L73" s="47" t="n">
        <v>1</v>
      </c>
      <c r="M73" s="47" t="n">
        <v>1</v>
      </c>
      <c r="N73" s="47" t="n">
        <v>1</v>
      </c>
      <c r="O73" s="40" t="n">
        <v>1</v>
      </c>
      <c r="P73" s="41" t="n">
        <v>1</v>
      </c>
      <c r="Q73" s="42" t="n">
        <v>23</v>
      </c>
      <c r="R73" s="42" t="n">
        <v>0</v>
      </c>
      <c r="S73" s="42" t="n">
        <v>23</v>
      </c>
      <c r="T73" s="42" t="n">
        <v>11</v>
      </c>
      <c r="U73" s="43" t="n">
        <v>0</v>
      </c>
      <c r="V73" s="43" t="n">
        <v>0</v>
      </c>
      <c r="W73" s="44" t="n">
        <v>0</v>
      </c>
      <c r="X73" s="44" t="n">
        <v>0</v>
      </c>
      <c r="Y73" s="43" t="n">
        <v>0</v>
      </c>
      <c r="Z73" s="43" t="n">
        <v>0</v>
      </c>
      <c r="AA73" s="44" t="n">
        <v>0</v>
      </c>
      <c r="AB73" s="44" t="n">
        <v>0</v>
      </c>
      <c r="AC73" s="43" t="n">
        <v>0</v>
      </c>
      <c r="AD73" s="43" t="n">
        <v>0</v>
      </c>
      <c r="AE73" s="44" t="n">
        <v>0</v>
      </c>
      <c r="AF73" s="44" t="n">
        <v>0</v>
      </c>
      <c r="AG73" s="43" t="n">
        <v>0</v>
      </c>
      <c r="AH73" s="43" t="n">
        <v>0</v>
      </c>
      <c r="AI73" s="43" t="n">
        <v>0</v>
      </c>
      <c r="AJ73" s="44"/>
      <c r="AK73" s="43" t="n">
        <v>5</v>
      </c>
      <c r="AL73" s="43" t="n">
        <v>5</v>
      </c>
      <c r="AM73" s="45" t="n">
        <v>0.7</v>
      </c>
      <c r="AN73" s="45" t="n">
        <v>0.3</v>
      </c>
      <c r="AO73" s="45" t="n">
        <v>1</v>
      </c>
      <c r="AP73" s="46" t="n">
        <v>1200</v>
      </c>
      <c r="AQ73" s="46" t="n">
        <v>1200</v>
      </c>
    </row>
    <row r="74" customFormat="false" ht="14.25" hidden="false" customHeight="false" outlineLevel="0" collapsed="false">
      <c r="A74" s="33" t="s">
        <v>222</v>
      </c>
      <c r="B74" s="33" t="n">
        <v>45698</v>
      </c>
      <c r="C74" s="34" t="s">
        <v>108</v>
      </c>
      <c r="D74" s="35" t="s">
        <v>177</v>
      </c>
      <c r="E74" s="35" t="s">
        <v>32</v>
      </c>
      <c r="F74" s="36" t="s">
        <v>178</v>
      </c>
      <c r="G74" s="37" t="s">
        <v>179</v>
      </c>
      <c r="H74" s="35" t="s">
        <v>112</v>
      </c>
      <c r="I74" s="35" t="s">
        <v>112</v>
      </c>
      <c r="J74" s="38" t="n">
        <v>22</v>
      </c>
      <c r="K74" s="47" t="n">
        <v>1</v>
      </c>
      <c r="L74" s="47" t="n">
        <v>1</v>
      </c>
      <c r="M74" s="47" t="n">
        <v>1</v>
      </c>
      <c r="N74" s="47" t="n">
        <v>1</v>
      </c>
      <c r="O74" s="40" t="n">
        <v>1</v>
      </c>
      <c r="P74" s="41" t="n">
        <v>1</v>
      </c>
      <c r="Q74" s="42" t="n">
        <v>23</v>
      </c>
      <c r="R74" s="42" t="n">
        <v>0</v>
      </c>
      <c r="S74" s="42" t="n">
        <v>23</v>
      </c>
      <c r="T74" s="42" t="n">
        <v>11</v>
      </c>
      <c r="U74" s="43" t="n">
        <v>0</v>
      </c>
      <c r="V74" s="43" t="n">
        <v>0</v>
      </c>
      <c r="W74" s="44" t="n">
        <v>0</v>
      </c>
      <c r="X74" s="44" t="n">
        <v>0</v>
      </c>
      <c r="Y74" s="43" t="n">
        <v>0</v>
      </c>
      <c r="Z74" s="43" t="n">
        <v>0</v>
      </c>
      <c r="AA74" s="44" t="n">
        <v>0</v>
      </c>
      <c r="AB74" s="44" t="n">
        <v>0</v>
      </c>
      <c r="AC74" s="43" t="n">
        <v>0</v>
      </c>
      <c r="AD74" s="43" t="n">
        <v>0</v>
      </c>
      <c r="AE74" s="44" t="n">
        <v>0</v>
      </c>
      <c r="AF74" s="44" t="n">
        <v>0</v>
      </c>
      <c r="AG74" s="43" t="n">
        <v>0</v>
      </c>
      <c r="AH74" s="43" t="n">
        <v>0</v>
      </c>
      <c r="AI74" s="43" t="n">
        <v>0</v>
      </c>
      <c r="AJ74" s="44"/>
      <c r="AK74" s="43" t="n">
        <v>1</v>
      </c>
      <c r="AL74" s="43" t="n">
        <v>1</v>
      </c>
      <c r="AM74" s="45" t="n">
        <v>0.7</v>
      </c>
      <c r="AN74" s="45" t="n">
        <v>0.3</v>
      </c>
      <c r="AO74" s="45" t="n">
        <v>1</v>
      </c>
      <c r="AP74" s="46" t="n">
        <v>1200</v>
      </c>
      <c r="AQ74" s="46" t="n">
        <v>1200</v>
      </c>
    </row>
    <row r="75" customFormat="false" ht="14.25" hidden="false" customHeight="false" outlineLevel="0" collapsed="false">
      <c r="A75" s="33" t="s">
        <v>223</v>
      </c>
      <c r="B75" s="33" t="n">
        <v>45425</v>
      </c>
      <c r="C75" s="34" t="s">
        <v>108</v>
      </c>
      <c r="D75" s="35" t="s">
        <v>177</v>
      </c>
      <c r="E75" s="35" t="s">
        <v>32</v>
      </c>
      <c r="F75" s="48" t="s">
        <v>178</v>
      </c>
      <c r="G75" s="37" t="s">
        <v>179</v>
      </c>
      <c r="H75" s="35" t="s">
        <v>112</v>
      </c>
      <c r="I75" s="35" t="s">
        <v>112</v>
      </c>
      <c r="J75" s="38" t="n">
        <v>22</v>
      </c>
      <c r="K75" s="47" t="n">
        <v>1</v>
      </c>
      <c r="L75" s="47" t="n">
        <v>1</v>
      </c>
      <c r="M75" s="47" t="n">
        <v>1</v>
      </c>
      <c r="N75" s="47" t="n">
        <v>1</v>
      </c>
      <c r="O75" s="40" t="n">
        <v>1</v>
      </c>
      <c r="P75" s="41" t="n">
        <v>1</v>
      </c>
      <c r="Q75" s="42" t="n">
        <v>23</v>
      </c>
      <c r="R75" s="42" t="n">
        <v>0</v>
      </c>
      <c r="S75" s="42" t="n">
        <v>23</v>
      </c>
      <c r="T75" s="42" t="n">
        <v>11</v>
      </c>
      <c r="U75" s="43" t="n">
        <v>0</v>
      </c>
      <c r="V75" s="43" t="n">
        <v>0</v>
      </c>
      <c r="W75" s="44" t="n">
        <v>0</v>
      </c>
      <c r="X75" s="44" t="n">
        <v>0</v>
      </c>
      <c r="Y75" s="43" t="n">
        <v>0</v>
      </c>
      <c r="Z75" s="43" t="n">
        <v>0</v>
      </c>
      <c r="AA75" s="44" t="n">
        <v>0</v>
      </c>
      <c r="AB75" s="44" t="n">
        <v>0</v>
      </c>
      <c r="AC75" s="43" t="n">
        <v>0</v>
      </c>
      <c r="AD75" s="43" t="n">
        <v>0</v>
      </c>
      <c r="AE75" s="44" t="n">
        <v>0</v>
      </c>
      <c r="AF75" s="44" t="n">
        <v>0</v>
      </c>
      <c r="AG75" s="43" t="n">
        <v>0</v>
      </c>
      <c r="AH75" s="43" t="n">
        <v>0</v>
      </c>
      <c r="AI75" s="43" t="n">
        <v>0</v>
      </c>
      <c r="AJ75" s="44"/>
      <c r="AK75" s="43" t="n">
        <v>5</v>
      </c>
      <c r="AL75" s="43" t="n">
        <v>5</v>
      </c>
      <c r="AM75" s="45" t="n">
        <v>0.7</v>
      </c>
      <c r="AN75" s="45" t="n">
        <v>0.3</v>
      </c>
      <c r="AO75" s="45" t="n">
        <v>1</v>
      </c>
      <c r="AP75" s="46" t="n">
        <v>1200</v>
      </c>
      <c r="AQ75" s="46" t="n">
        <v>1200</v>
      </c>
    </row>
    <row r="76" customFormat="false" ht="14.25" hidden="false" customHeight="false" outlineLevel="0" collapsed="false">
      <c r="A76" s="33" t="s">
        <v>224</v>
      </c>
      <c r="B76" s="33" t="n">
        <v>46062</v>
      </c>
      <c r="C76" s="34" t="s">
        <v>134</v>
      </c>
      <c r="D76" s="35" t="s">
        <v>177</v>
      </c>
      <c r="E76" s="35" t="s">
        <v>32</v>
      </c>
      <c r="F76" s="48" t="s">
        <v>178</v>
      </c>
      <c r="G76" s="37" t="s">
        <v>179</v>
      </c>
      <c r="H76" s="35" t="s">
        <v>112</v>
      </c>
      <c r="I76" s="35" t="s">
        <v>112</v>
      </c>
      <c r="J76" s="38" t="n">
        <v>16.5</v>
      </c>
      <c r="K76" s="47" t="n">
        <v>1</v>
      </c>
      <c r="L76" s="47" t="n">
        <v>1</v>
      </c>
      <c r="M76" s="47" t="n">
        <v>1</v>
      </c>
      <c r="N76" s="47" t="n">
        <v>0</v>
      </c>
      <c r="O76" s="40" t="n">
        <v>0.75</v>
      </c>
      <c r="P76" s="41" t="n">
        <v>0.75</v>
      </c>
      <c r="Q76" s="42" t="n">
        <v>17</v>
      </c>
      <c r="R76" s="42" t="n">
        <v>0</v>
      </c>
      <c r="S76" s="42" t="n">
        <v>17</v>
      </c>
      <c r="T76" s="42" t="n">
        <v>9</v>
      </c>
      <c r="U76" s="43" t="n">
        <v>0</v>
      </c>
      <c r="V76" s="43" t="n">
        <v>0</v>
      </c>
      <c r="W76" s="44" t="n">
        <v>0</v>
      </c>
      <c r="X76" s="44" t="n">
        <v>0</v>
      </c>
      <c r="Y76" s="43" t="n">
        <v>0</v>
      </c>
      <c r="Z76" s="43" t="n">
        <v>0</v>
      </c>
      <c r="AA76" s="44" t="n">
        <v>0</v>
      </c>
      <c r="AB76" s="44" t="n">
        <v>0</v>
      </c>
      <c r="AC76" s="43" t="n">
        <v>0</v>
      </c>
      <c r="AD76" s="43" t="n">
        <v>0</v>
      </c>
      <c r="AE76" s="44" t="n">
        <v>0</v>
      </c>
      <c r="AF76" s="44" t="n">
        <v>0</v>
      </c>
      <c r="AG76" s="43" t="n">
        <v>0</v>
      </c>
      <c r="AH76" s="43" t="n">
        <v>0</v>
      </c>
      <c r="AI76" s="43" t="n">
        <v>0</v>
      </c>
      <c r="AJ76" s="44"/>
      <c r="AK76" s="43" t="n">
        <v>5</v>
      </c>
      <c r="AL76" s="43" t="n">
        <v>5</v>
      </c>
      <c r="AM76" s="45" t="n">
        <v>0.7</v>
      </c>
      <c r="AN76" s="45" t="n">
        <v>0.3</v>
      </c>
      <c r="AO76" s="45" t="n">
        <v>0.75</v>
      </c>
      <c r="AP76" s="46" t="n">
        <v>1200</v>
      </c>
      <c r="AQ76" s="46" t="n">
        <v>900</v>
      </c>
    </row>
    <row r="77" customFormat="false" ht="14.25" hidden="false" customHeight="false" outlineLevel="0" collapsed="false">
      <c r="A77" s="33" t="s">
        <v>225</v>
      </c>
      <c r="B77" s="33" t="n">
        <v>46062</v>
      </c>
      <c r="C77" s="34" t="s">
        <v>134</v>
      </c>
      <c r="D77" s="35" t="s">
        <v>177</v>
      </c>
      <c r="E77" s="35" t="s">
        <v>32</v>
      </c>
      <c r="F77" s="48" t="s">
        <v>183</v>
      </c>
      <c r="G77" s="37" t="s">
        <v>179</v>
      </c>
      <c r="H77" s="35" t="s">
        <v>112</v>
      </c>
      <c r="I77" s="35" t="s">
        <v>112</v>
      </c>
      <c r="J77" s="38" t="n">
        <v>22</v>
      </c>
      <c r="K77" s="47" t="n">
        <v>1</v>
      </c>
      <c r="L77" s="47" t="n">
        <v>1</v>
      </c>
      <c r="M77" s="47" t="n">
        <v>1</v>
      </c>
      <c r="N77" s="47" t="n">
        <v>1</v>
      </c>
      <c r="O77" s="40" t="n">
        <v>1</v>
      </c>
      <c r="P77" s="41" t="n">
        <v>1</v>
      </c>
      <c r="Q77" s="42" t="n">
        <v>23</v>
      </c>
      <c r="R77" s="42" t="n">
        <v>0</v>
      </c>
      <c r="S77" s="42" t="n">
        <v>23</v>
      </c>
      <c r="T77" s="42" t="n">
        <v>11</v>
      </c>
      <c r="U77" s="43" t="n">
        <v>0</v>
      </c>
      <c r="V77" s="43" t="n">
        <v>0</v>
      </c>
      <c r="W77" s="44" t="n">
        <v>0</v>
      </c>
      <c r="X77" s="44" t="n">
        <v>0</v>
      </c>
      <c r="Y77" s="43" t="n">
        <v>0</v>
      </c>
      <c r="Z77" s="43" t="n">
        <v>0</v>
      </c>
      <c r="AA77" s="44" t="n">
        <v>0</v>
      </c>
      <c r="AB77" s="44" t="n">
        <v>0</v>
      </c>
      <c r="AC77" s="43" t="n">
        <v>0</v>
      </c>
      <c r="AD77" s="43" t="n">
        <v>0</v>
      </c>
      <c r="AE77" s="44" t="n">
        <v>0</v>
      </c>
      <c r="AF77" s="44" t="n">
        <v>0</v>
      </c>
      <c r="AG77" s="43" t="n">
        <v>0</v>
      </c>
      <c r="AH77" s="43" t="n">
        <v>0</v>
      </c>
      <c r="AI77" s="43" t="n">
        <v>0</v>
      </c>
      <c r="AJ77" s="44"/>
      <c r="AK77" s="43" t="n">
        <v>2</v>
      </c>
      <c r="AL77" s="43" t="n">
        <v>2</v>
      </c>
      <c r="AM77" s="45" t="n">
        <v>0.7</v>
      </c>
      <c r="AN77" s="45" t="n">
        <v>0.3</v>
      </c>
      <c r="AO77" s="45" t="n">
        <v>1</v>
      </c>
      <c r="AP77" s="46" t="n">
        <v>1200</v>
      </c>
      <c r="AQ77" s="46" t="n">
        <v>1200</v>
      </c>
    </row>
    <row r="78" customFormat="false" ht="14.25" hidden="false" customHeight="false" outlineLevel="0" collapsed="false">
      <c r="A78" s="33" t="s">
        <v>226</v>
      </c>
      <c r="B78" s="33" t="n">
        <v>46054</v>
      </c>
      <c r="C78" s="34" t="s">
        <v>134</v>
      </c>
      <c r="D78" s="35" t="s">
        <v>177</v>
      </c>
      <c r="E78" s="35" t="s">
        <v>32</v>
      </c>
      <c r="F78" s="48" t="s">
        <v>183</v>
      </c>
      <c r="G78" s="37" t="s">
        <v>179</v>
      </c>
      <c r="H78" s="35" t="s">
        <v>112</v>
      </c>
      <c r="I78" s="35" t="s">
        <v>112</v>
      </c>
      <c r="J78" s="38" t="n">
        <v>22</v>
      </c>
      <c r="K78" s="47" t="n">
        <v>1</v>
      </c>
      <c r="L78" s="47" t="n">
        <v>1</v>
      </c>
      <c r="M78" s="47" t="n">
        <v>1</v>
      </c>
      <c r="N78" s="47" t="n">
        <v>1</v>
      </c>
      <c r="O78" s="40" t="n">
        <v>1</v>
      </c>
      <c r="P78" s="41" t="n">
        <v>1</v>
      </c>
      <c r="Q78" s="42" t="n">
        <v>23</v>
      </c>
      <c r="R78" s="42" t="n">
        <v>0</v>
      </c>
      <c r="S78" s="42" t="n">
        <v>23</v>
      </c>
      <c r="T78" s="42" t="n">
        <v>11</v>
      </c>
      <c r="U78" s="43" t="n">
        <v>0</v>
      </c>
      <c r="V78" s="43" t="n">
        <v>0</v>
      </c>
      <c r="W78" s="44" t="n">
        <v>0</v>
      </c>
      <c r="X78" s="44" t="n">
        <v>0</v>
      </c>
      <c r="Y78" s="43" t="n">
        <v>0</v>
      </c>
      <c r="Z78" s="43" t="n">
        <v>0</v>
      </c>
      <c r="AA78" s="44" t="n">
        <v>0</v>
      </c>
      <c r="AB78" s="44" t="n">
        <v>0</v>
      </c>
      <c r="AC78" s="43" t="n">
        <v>0</v>
      </c>
      <c r="AD78" s="43" t="n">
        <v>0</v>
      </c>
      <c r="AE78" s="44" t="n">
        <v>0</v>
      </c>
      <c r="AF78" s="44" t="n">
        <v>0</v>
      </c>
      <c r="AG78" s="43" t="n">
        <v>0</v>
      </c>
      <c r="AH78" s="43" t="n">
        <v>0</v>
      </c>
      <c r="AI78" s="43" t="n">
        <v>0</v>
      </c>
      <c r="AJ78" s="44"/>
      <c r="AK78" s="43" t="n">
        <v>4</v>
      </c>
      <c r="AL78" s="43" t="n">
        <v>4</v>
      </c>
      <c r="AM78" s="45" t="n">
        <v>0.7</v>
      </c>
      <c r="AN78" s="45" t="n">
        <v>0.3</v>
      </c>
      <c r="AO78" s="45" t="n">
        <v>1</v>
      </c>
      <c r="AP78" s="46" t="n">
        <v>1200</v>
      </c>
      <c r="AQ78" s="46" t="n">
        <v>1200</v>
      </c>
    </row>
    <row r="79" customFormat="false" ht="14.25" hidden="false" customHeight="false" outlineLevel="0" collapsed="false">
      <c r="A79" s="33" t="s">
        <v>227</v>
      </c>
      <c r="B79" s="33" t="n">
        <v>45719</v>
      </c>
      <c r="C79" s="34" t="s">
        <v>108</v>
      </c>
      <c r="D79" s="35" t="s">
        <v>177</v>
      </c>
      <c r="E79" s="35" t="s">
        <v>32</v>
      </c>
      <c r="F79" s="48" t="s">
        <v>183</v>
      </c>
      <c r="G79" s="37" t="s">
        <v>179</v>
      </c>
      <c r="H79" s="35" t="s">
        <v>112</v>
      </c>
      <c r="I79" s="35" t="s">
        <v>112</v>
      </c>
      <c r="J79" s="38" t="n">
        <v>10</v>
      </c>
      <c r="K79" s="47" t="n">
        <v>1</v>
      </c>
      <c r="L79" s="47" t="n">
        <v>0</v>
      </c>
      <c r="M79" s="47" t="n">
        <v>0</v>
      </c>
      <c r="N79" s="47" t="n">
        <v>0.818181818181818</v>
      </c>
      <c r="O79" s="40" t="n">
        <v>0.454545454545455</v>
      </c>
      <c r="P79" s="41" t="n">
        <v>0.454545454545455</v>
      </c>
      <c r="Q79" s="42" t="n">
        <v>10</v>
      </c>
      <c r="R79" s="42" t="n">
        <v>0</v>
      </c>
      <c r="S79" s="42" t="n">
        <v>10</v>
      </c>
      <c r="T79" s="42" t="n">
        <v>6</v>
      </c>
      <c r="U79" s="43" t="n">
        <v>0</v>
      </c>
      <c r="V79" s="43" t="n">
        <v>0</v>
      </c>
      <c r="W79" s="44" t="n">
        <v>0</v>
      </c>
      <c r="X79" s="44" t="n">
        <v>0</v>
      </c>
      <c r="Y79" s="43" t="n">
        <v>0</v>
      </c>
      <c r="Z79" s="43" t="n">
        <v>0</v>
      </c>
      <c r="AA79" s="44" t="n">
        <v>0</v>
      </c>
      <c r="AB79" s="44" t="n">
        <v>0</v>
      </c>
      <c r="AC79" s="43" t="n">
        <v>0</v>
      </c>
      <c r="AD79" s="43" t="n">
        <v>0</v>
      </c>
      <c r="AE79" s="44" t="n">
        <v>0</v>
      </c>
      <c r="AF79" s="44" t="n">
        <v>0</v>
      </c>
      <c r="AG79" s="43" t="n">
        <v>0</v>
      </c>
      <c r="AH79" s="43" t="n">
        <v>0</v>
      </c>
      <c r="AI79" s="43" t="n">
        <v>0</v>
      </c>
      <c r="AJ79" s="44"/>
      <c r="AK79" s="43" t="n">
        <v>4</v>
      </c>
      <c r="AL79" s="43" t="n">
        <v>4</v>
      </c>
      <c r="AM79" s="45" t="n">
        <v>0.7</v>
      </c>
      <c r="AN79" s="45" t="n">
        <v>0.3</v>
      </c>
      <c r="AO79" s="45" t="n">
        <v>0.454545454545455</v>
      </c>
      <c r="AP79" s="46" t="n">
        <v>1200</v>
      </c>
      <c r="AQ79" s="46" t="n">
        <v>545</v>
      </c>
    </row>
    <row r="80" customFormat="false" ht="14.25" hidden="false" customHeight="false" outlineLevel="0" collapsed="false">
      <c r="A80" s="33" t="s">
        <v>228</v>
      </c>
      <c r="B80" s="33" t="n">
        <v>45323</v>
      </c>
      <c r="C80" s="34" t="s">
        <v>108</v>
      </c>
      <c r="D80" s="35" t="s">
        <v>177</v>
      </c>
      <c r="E80" s="35" t="s">
        <v>32</v>
      </c>
      <c r="F80" s="48" t="s">
        <v>183</v>
      </c>
      <c r="G80" s="37" t="s">
        <v>179</v>
      </c>
      <c r="H80" s="35" t="s">
        <v>112</v>
      </c>
      <c r="I80" s="35" t="s">
        <v>112</v>
      </c>
      <c r="J80" s="38" t="n">
        <v>22</v>
      </c>
      <c r="K80" s="47" t="n">
        <v>1</v>
      </c>
      <c r="L80" s="47" t="n">
        <v>1</v>
      </c>
      <c r="M80" s="47" t="n">
        <v>1</v>
      </c>
      <c r="N80" s="47" t="n">
        <v>1</v>
      </c>
      <c r="O80" s="40" t="n">
        <v>1</v>
      </c>
      <c r="P80" s="41" t="n">
        <v>1</v>
      </c>
      <c r="Q80" s="42" t="n">
        <v>23</v>
      </c>
      <c r="R80" s="42" t="n">
        <v>0</v>
      </c>
      <c r="S80" s="42" t="n">
        <v>23</v>
      </c>
      <c r="T80" s="42" t="n">
        <v>11</v>
      </c>
      <c r="U80" s="43" t="n">
        <v>0</v>
      </c>
      <c r="V80" s="43" t="n">
        <v>0</v>
      </c>
      <c r="W80" s="44" t="n">
        <v>0</v>
      </c>
      <c r="X80" s="44" t="n">
        <v>0</v>
      </c>
      <c r="Y80" s="43" t="n">
        <v>0</v>
      </c>
      <c r="Z80" s="43" t="n">
        <v>0</v>
      </c>
      <c r="AA80" s="44" t="n">
        <v>0</v>
      </c>
      <c r="AB80" s="44" t="n">
        <v>0</v>
      </c>
      <c r="AC80" s="43" t="n">
        <v>0</v>
      </c>
      <c r="AD80" s="43" t="n">
        <v>0</v>
      </c>
      <c r="AE80" s="44" t="n">
        <v>0</v>
      </c>
      <c r="AF80" s="44" t="n">
        <v>0</v>
      </c>
      <c r="AG80" s="43" t="n">
        <v>0</v>
      </c>
      <c r="AH80" s="43" t="n">
        <v>0</v>
      </c>
      <c r="AI80" s="43" t="n">
        <v>0</v>
      </c>
      <c r="AJ80" s="44"/>
      <c r="AK80" s="43" t="n">
        <v>3</v>
      </c>
      <c r="AL80" s="43" t="n">
        <v>3</v>
      </c>
      <c r="AM80" s="45" t="n">
        <v>0.7</v>
      </c>
      <c r="AN80" s="45" t="n">
        <v>0.3</v>
      </c>
      <c r="AO80" s="45" t="n">
        <v>1</v>
      </c>
      <c r="AP80" s="46" t="n">
        <v>1200</v>
      </c>
      <c r="AQ80" s="46" t="n">
        <v>1200</v>
      </c>
    </row>
    <row r="81" customFormat="false" ht="14.25" hidden="false" customHeight="false" outlineLevel="0" collapsed="false">
      <c r="A81" s="33" t="s">
        <v>229</v>
      </c>
      <c r="B81" s="33" t="n">
        <v>44900</v>
      </c>
      <c r="C81" s="34" t="s">
        <v>108</v>
      </c>
      <c r="D81" s="35" t="s">
        <v>177</v>
      </c>
      <c r="E81" s="35" t="s">
        <v>32</v>
      </c>
      <c r="F81" s="48" t="s">
        <v>183</v>
      </c>
      <c r="G81" s="37" t="s">
        <v>179</v>
      </c>
      <c r="H81" s="35" t="s">
        <v>112</v>
      </c>
      <c r="I81" s="35" t="s">
        <v>112</v>
      </c>
      <c r="J81" s="38" t="n">
        <v>10</v>
      </c>
      <c r="K81" s="47" t="n">
        <v>0</v>
      </c>
      <c r="L81" s="47" t="n">
        <v>0</v>
      </c>
      <c r="M81" s="47" t="n">
        <v>0.818181818181818</v>
      </c>
      <c r="N81" s="47" t="n">
        <v>1</v>
      </c>
      <c r="O81" s="40" t="n">
        <v>0.454545454545455</v>
      </c>
      <c r="P81" s="41" t="n">
        <v>0.454545454545455</v>
      </c>
      <c r="Q81" s="42" t="n">
        <v>10</v>
      </c>
      <c r="R81" s="42" t="n">
        <v>0</v>
      </c>
      <c r="S81" s="42" t="n">
        <v>10</v>
      </c>
      <c r="T81" s="42" t="n">
        <v>6</v>
      </c>
      <c r="U81" s="43" t="n">
        <v>0</v>
      </c>
      <c r="V81" s="43" t="n">
        <v>0</v>
      </c>
      <c r="W81" s="44" t="n">
        <v>0</v>
      </c>
      <c r="X81" s="44" t="n">
        <v>0</v>
      </c>
      <c r="Y81" s="43" t="n">
        <v>0</v>
      </c>
      <c r="Z81" s="43" t="n">
        <v>0</v>
      </c>
      <c r="AA81" s="44" t="n">
        <v>0</v>
      </c>
      <c r="AB81" s="44" t="n">
        <v>0</v>
      </c>
      <c r="AC81" s="43" t="n">
        <v>0</v>
      </c>
      <c r="AD81" s="43" t="n">
        <v>0</v>
      </c>
      <c r="AE81" s="44" t="n">
        <v>0</v>
      </c>
      <c r="AF81" s="44" t="n">
        <v>0</v>
      </c>
      <c r="AG81" s="43" t="n">
        <v>0</v>
      </c>
      <c r="AH81" s="43" t="n">
        <v>0</v>
      </c>
      <c r="AI81" s="43" t="n">
        <v>0</v>
      </c>
      <c r="AJ81" s="44"/>
      <c r="AK81" s="43" t="n">
        <v>0</v>
      </c>
      <c r="AL81" s="43" t="n">
        <v>0</v>
      </c>
      <c r="AM81" s="45" t="n">
        <v>0.7</v>
      </c>
      <c r="AN81" s="45" t="n">
        <v>0.3</v>
      </c>
      <c r="AO81" s="45" t="n">
        <v>0.454545454545455</v>
      </c>
      <c r="AP81" s="46" t="n">
        <v>1200</v>
      </c>
      <c r="AQ81" s="46" t="n">
        <v>545</v>
      </c>
    </row>
    <row r="82" customFormat="false" ht="14.25" hidden="false" customHeight="false" outlineLevel="0" collapsed="false">
      <c r="A82" s="33" t="s">
        <v>230</v>
      </c>
      <c r="B82" s="33" t="n">
        <v>45474</v>
      </c>
      <c r="C82" s="34" t="s">
        <v>108</v>
      </c>
      <c r="D82" s="35" t="s">
        <v>177</v>
      </c>
      <c r="E82" s="35" t="s">
        <v>32</v>
      </c>
      <c r="F82" s="48" t="s">
        <v>183</v>
      </c>
      <c r="G82" s="37" t="s">
        <v>179</v>
      </c>
      <c r="H82" s="35" t="s">
        <v>112</v>
      </c>
      <c r="I82" s="35" t="s">
        <v>112</v>
      </c>
      <c r="J82" s="38" t="n">
        <v>22</v>
      </c>
      <c r="K82" s="47" t="n">
        <v>1</v>
      </c>
      <c r="L82" s="47" t="n">
        <v>1</v>
      </c>
      <c r="M82" s="47" t="n">
        <v>1</v>
      </c>
      <c r="N82" s="47" t="n">
        <v>1</v>
      </c>
      <c r="O82" s="40" t="n">
        <v>1</v>
      </c>
      <c r="P82" s="41" t="n">
        <v>1</v>
      </c>
      <c r="Q82" s="42" t="n">
        <v>23</v>
      </c>
      <c r="R82" s="42" t="n">
        <v>0</v>
      </c>
      <c r="S82" s="42" t="n">
        <v>23</v>
      </c>
      <c r="T82" s="42" t="n">
        <v>11</v>
      </c>
      <c r="U82" s="43" t="n">
        <v>0</v>
      </c>
      <c r="V82" s="43" t="n">
        <v>0</v>
      </c>
      <c r="W82" s="44" t="n">
        <v>0</v>
      </c>
      <c r="X82" s="44" t="n">
        <v>0</v>
      </c>
      <c r="Y82" s="43" t="n">
        <v>0</v>
      </c>
      <c r="Z82" s="43" t="n">
        <v>0</v>
      </c>
      <c r="AA82" s="44" t="n">
        <v>0</v>
      </c>
      <c r="AB82" s="44" t="n">
        <v>0</v>
      </c>
      <c r="AC82" s="43" t="n">
        <v>0</v>
      </c>
      <c r="AD82" s="43" t="n">
        <v>0</v>
      </c>
      <c r="AE82" s="44" t="n">
        <v>0</v>
      </c>
      <c r="AF82" s="44" t="n">
        <v>0</v>
      </c>
      <c r="AG82" s="43" t="n">
        <v>0</v>
      </c>
      <c r="AH82" s="43" t="n">
        <v>0</v>
      </c>
      <c r="AI82" s="43" t="n">
        <v>0</v>
      </c>
      <c r="AJ82" s="44"/>
      <c r="AK82" s="43" t="n">
        <v>1</v>
      </c>
      <c r="AL82" s="43" t="n">
        <v>1</v>
      </c>
      <c r="AM82" s="45" t="n">
        <v>0.7</v>
      </c>
      <c r="AN82" s="45" t="n">
        <v>0.3</v>
      </c>
      <c r="AO82" s="45" t="n">
        <v>1</v>
      </c>
      <c r="AP82" s="46" t="n">
        <v>1200</v>
      </c>
      <c r="AQ82" s="46" t="n">
        <v>1200</v>
      </c>
    </row>
    <row r="83" customFormat="false" ht="14.25" hidden="false" customHeight="false" outlineLevel="0" collapsed="false">
      <c r="A83" s="33" t="s">
        <v>231</v>
      </c>
      <c r="B83" s="33" t="n">
        <v>46082</v>
      </c>
      <c r="C83" s="34" t="s">
        <v>219</v>
      </c>
      <c r="D83" s="35" t="s">
        <v>177</v>
      </c>
      <c r="E83" s="35" t="s">
        <v>32</v>
      </c>
      <c r="F83" s="48" t="s">
        <v>183</v>
      </c>
      <c r="G83" s="37" t="s">
        <v>179</v>
      </c>
      <c r="H83" s="35" t="s">
        <v>112</v>
      </c>
      <c r="I83" s="35" t="s">
        <v>112</v>
      </c>
      <c r="J83" s="38" t="n">
        <v>22</v>
      </c>
      <c r="K83" s="47" t="n">
        <v>1</v>
      </c>
      <c r="L83" s="47" t="n">
        <v>1</v>
      </c>
      <c r="M83" s="47" t="n">
        <v>1</v>
      </c>
      <c r="N83" s="47" t="n">
        <v>1</v>
      </c>
      <c r="O83" s="40" t="n">
        <v>1</v>
      </c>
      <c r="P83" s="41" t="n">
        <v>1</v>
      </c>
      <c r="Q83" s="42" t="n">
        <v>23</v>
      </c>
      <c r="R83" s="42" t="n">
        <v>0</v>
      </c>
      <c r="S83" s="42" t="n">
        <v>23</v>
      </c>
      <c r="T83" s="42" t="n">
        <v>11</v>
      </c>
      <c r="U83" s="43" t="n">
        <v>0</v>
      </c>
      <c r="V83" s="43" t="n">
        <v>0</v>
      </c>
      <c r="W83" s="44" t="n">
        <v>0</v>
      </c>
      <c r="X83" s="44" t="n">
        <v>0</v>
      </c>
      <c r="Y83" s="43" t="n">
        <v>0</v>
      </c>
      <c r="Z83" s="43" t="n">
        <v>0</v>
      </c>
      <c r="AA83" s="44" t="n">
        <v>0</v>
      </c>
      <c r="AB83" s="44" t="n">
        <v>0</v>
      </c>
      <c r="AC83" s="43" t="n">
        <v>0</v>
      </c>
      <c r="AD83" s="43" t="n">
        <v>0</v>
      </c>
      <c r="AE83" s="44" t="n">
        <v>0</v>
      </c>
      <c r="AF83" s="44" t="n">
        <v>0</v>
      </c>
      <c r="AG83" s="43" t="n">
        <v>0</v>
      </c>
      <c r="AH83" s="43" t="n">
        <v>0</v>
      </c>
      <c r="AI83" s="43" t="n">
        <v>0</v>
      </c>
      <c r="AJ83" s="44"/>
      <c r="AK83" s="43" t="n">
        <v>1</v>
      </c>
      <c r="AL83" s="43" t="n">
        <v>1</v>
      </c>
      <c r="AM83" s="45" t="n">
        <v>0.7</v>
      </c>
      <c r="AN83" s="45" t="n">
        <v>0.3</v>
      </c>
      <c r="AO83" s="45" t="n">
        <v>1</v>
      </c>
      <c r="AP83" s="46" t="n">
        <v>1200</v>
      </c>
      <c r="AQ83" s="46" t="n">
        <v>1200</v>
      </c>
    </row>
    <row r="84" customFormat="false" ht="14.25" hidden="false" customHeight="false" outlineLevel="0" collapsed="false">
      <c r="A84" s="33" t="s">
        <v>232</v>
      </c>
      <c r="B84" s="33" t="n">
        <v>46146</v>
      </c>
      <c r="C84" s="34" t="s">
        <v>126</v>
      </c>
      <c r="D84" s="35" t="s">
        <v>177</v>
      </c>
      <c r="E84" s="35" t="s">
        <v>32</v>
      </c>
      <c r="F84" s="48" t="s">
        <v>183</v>
      </c>
      <c r="G84" s="37" t="s">
        <v>179</v>
      </c>
      <c r="H84" s="35" t="s">
        <v>112</v>
      </c>
      <c r="I84" s="35" t="s">
        <v>112</v>
      </c>
      <c r="J84" s="38" t="n">
        <v>22</v>
      </c>
      <c r="K84" s="47" t="n">
        <v>1</v>
      </c>
      <c r="L84" s="47" t="n">
        <v>1</v>
      </c>
      <c r="M84" s="47" t="n">
        <v>1</v>
      </c>
      <c r="N84" s="47" t="n">
        <v>1</v>
      </c>
      <c r="O84" s="40" t="n">
        <v>1</v>
      </c>
      <c r="P84" s="41" t="n">
        <v>1</v>
      </c>
      <c r="Q84" s="42" t="n">
        <v>0</v>
      </c>
      <c r="R84" s="42" t="n">
        <v>0</v>
      </c>
      <c r="S84" s="42" t="n">
        <v>23</v>
      </c>
      <c r="T84" s="42" t="n">
        <v>11</v>
      </c>
      <c r="U84" s="43" t="n">
        <v>0</v>
      </c>
      <c r="V84" s="43" t="n">
        <v>0</v>
      </c>
      <c r="W84" s="44" t="n">
        <v>0</v>
      </c>
      <c r="X84" s="44" t="n">
        <v>0</v>
      </c>
      <c r="Y84" s="43" t="n">
        <v>0</v>
      </c>
      <c r="Z84" s="43" t="n">
        <v>0</v>
      </c>
      <c r="AA84" s="44" t="n">
        <v>0</v>
      </c>
      <c r="AB84" s="44" t="n">
        <v>0</v>
      </c>
      <c r="AC84" s="43" t="n">
        <v>0</v>
      </c>
      <c r="AD84" s="43" t="n">
        <v>0</v>
      </c>
      <c r="AE84" s="44" t="n">
        <v>0</v>
      </c>
      <c r="AF84" s="44" t="n">
        <v>0</v>
      </c>
      <c r="AG84" s="43" t="n">
        <v>0</v>
      </c>
      <c r="AH84" s="43" t="n">
        <v>0</v>
      </c>
      <c r="AI84" s="43" t="n">
        <v>0</v>
      </c>
      <c r="AJ84" s="44"/>
      <c r="AK84" s="43" t="n">
        <v>0</v>
      </c>
      <c r="AL84" s="43" t="n">
        <v>0</v>
      </c>
      <c r="AM84" s="45" t="n">
        <v>0.7</v>
      </c>
      <c r="AN84" s="45" t="n">
        <v>0.3</v>
      </c>
      <c r="AO84" s="45" t="n">
        <v>1</v>
      </c>
      <c r="AP84" s="46" t="n">
        <v>1200</v>
      </c>
      <c r="AQ84" s="46" t="n">
        <v>1200</v>
      </c>
    </row>
    <row r="85" customFormat="false" ht="14.25" hidden="false" customHeight="false" outlineLevel="0" collapsed="false">
      <c r="A85" s="33" t="s">
        <v>233</v>
      </c>
      <c r="B85" s="33" t="n">
        <v>46160</v>
      </c>
      <c r="C85" s="34" t="s">
        <v>126</v>
      </c>
      <c r="D85" s="35" t="s">
        <v>186</v>
      </c>
      <c r="E85" s="35" t="s">
        <v>27</v>
      </c>
      <c r="F85" s="48" t="s">
        <v>187</v>
      </c>
      <c r="G85" s="37" t="s">
        <v>188</v>
      </c>
      <c r="H85" s="35" t="s">
        <v>112</v>
      </c>
      <c r="I85" s="35" t="s">
        <v>112</v>
      </c>
      <c r="J85" s="38" t="n">
        <v>22</v>
      </c>
      <c r="K85" s="47" t="n">
        <v>1</v>
      </c>
      <c r="L85" s="47" t="n">
        <v>1</v>
      </c>
      <c r="M85" s="47" t="n">
        <v>1</v>
      </c>
      <c r="N85" s="47" t="n">
        <v>1</v>
      </c>
      <c r="O85" s="40" t="n">
        <v>1</v>
      </c>
      <c r="P85" s="41" t="n">
        <v>1</v>
      </c>
      <c r="Q85" s="42" t="n">
        <v>4</v>
      </c>
      <c r="R85" s="42" t="n">
        <v>1</v>
      </c>
      <c r="S85" s="42" t="n">
        <v>5</v>
      </c>
      <c r="T85" s="42" t="n">
        <v>3</v>
      </c>
      <c r="U85" s="43" t="n">
        <v>0</v>
      </c>
      <c r="V85" s="43" t="n">
        <v>0</v>
      </c>
      <c r="W85" s="44" t="n">
        <v>0</v>
      </c>
      <c r="X85" s="44" t="n">
        <v>0</v>
      </c>
      <c r="Y85" s="43" t="n">
        <v>0</v>
      </c>
      <c r="Z85" s="43" t="n">
        <v>1</v>
      </c>
      <c r="AA85" s="44" t="n">
        <v>1</v>
      </c>
      <c r="AB85" s="44" t="n">
        <v>1</v>
      </c>
      <c r="AC85" s="43" t="n">
        <v>0</v>
      </c>
      <c r="AD85" s="43" t="n">
        <v>0</v>
      </c>
      <c r="AE85" s="44" t="n">
        <v>0</v>
      </c>
      <c r="AF85" s="44" t="n">
        <v>0</v>
      </c>
      <c r="AG85" s="43" t="n">
        <v>1</v>
      </c>
      <c r="AH85" s="43" t="n">
        <v>1</v>
      </c>
      <c r="AI85" s="43" t="n">
        <v>1</v>
      </c>
      <c r="AJ85" s="44"/>
      <c r="AK85" s="43" t="n">
        <v>0</v>
      </c>
      <c r="AL85" s="43" t="n">
        <v>5</v>
      </c>
      <c r="AM85" s="45" t="n">
        <v>0.7</v>
      </c>
      <c r="AN85" s="45" t="n">
        <v>0.3</v>
      </c>
      <c r="AO85" s="45" t="n">
        <v>1</v>
      </c>
      <c r="AP85" s="46" t="n">
        <v>1200</v>
      </c>
      <c r="AQ85" s="46" t="n">
        <v>1200</v>
      </c>
    </row>
    <row r="86" customFormat="false" ht="14.25" hidden="false" customHeight="false" outlineLevel="0" collapsed="false">
      <c r="A86" s="33" t="s">
        <v>234</v>
      </c>
      <c r="B86" s="33" t="n">
        <v>46097</v>
      </c>
      <c r="C86" s="34" t="s">
        <v>219</v>
      </c>
      <c r="D86" s="35" t="s">
        <v>186</v>
      </c>
      <c r="E86" s="35" t="s">
        <v>27</v>
      </c>
      <c r="F86" s="48" t="s">
        <v>187</v>
      </c>
      <c r="G86" s="37" t="s">
        <v>188</v>
      </c>
      <c r="H86" s="35" t="s">
        <v>112</v>
      </c>
      <c r="I86" s="35" t="s">
        <v>112</v>
      </c>
      <c r="J86" s="38" t="n">
        <v>22</v>
      </c>
      <c r="K86" s="47" t="n">
        <v>1</v>
      </c>
      <c r="L86" s="47" t="n">
        <v>1</v>
      </c>
      <c r="M86" s="47" t="n">
        <v>1</v>
      </c>
      <c r="N86" s="47" t="n">
        <v>1</v>
      </c>
      <c r="O86" s="40" t="n">
        <v>1</v>
      </c>
      <c r="P86" s="41" t="n">
        <v>1</v>
      </c>
      <c r="Q86" s="42" t="n">
        <v>4</v>
      </c>
      <c r="R86" s="42" t="n">
        <v>1</v>
      </c>
      <c r="S86" s="42" t="n">
        <v>5</v>
      </c>
      <c r="T86" s="42" t="n">
        <v>2</v>
      </c>
      <c r="U86" s="43" t="n">
        <v>0</v>
      </c>
      <c r="V86" s="43" t="n">
        <v>0</v>
      </c>
      <c r="W86" s="44" t="n">
        <v>0</v>
      </c>
      <c r="X86" s="44" t="n">
        <v>0</v>
      </c>
      <c r="Y86" s="43" t="n">
        <v>0</v>
      </c>
      <c r="Z86" s="43" t="n">
        <v>0</v>
      </c>
      <c r="AA86" s="44" t="n">
        <v>0</v>
      </c>
      <c r="AB86" s="44" t="n">
        <v>0</v>
      </c>
      <c r="AC86" s="43" t="n">
        <v>0</v>
      </c>
      <c r="AD86" s="43" t="n">
        <v>0</v>
      </c>
      <c r="AE86" s="44" t="n">
        <v>0</v>
      </c>
      <c r="AF86" s="44" t="n">
        <v>0</v>
      </c>
      <c r="AG86" s="43" t="n">
        <v>0</v>
      </c>
      <c r="AH86" s="43" t="n">
        <v>0</v>
      </c>
      <c r="AI86" s="43" t="n">
        <v>0</v>
      </c>
      <c r="AJ86" s="44"/>
      <c r="AK86" s="43" t="n">
        <v>0</v>
      </c>
      <c r="AL86" s="43" t="n">
        <v>0</v>
      </c>
      <c r="AM86" s="45" t="n">
        <v>0.7</v>
      </c>
      <c r="AN86" s="45" t="n">
        <v>0.3</v>
      </c>
      <c r="AO86" s="45" t="n">
        <v>1</v>
      </c>
      <c r="AP86" s="46" t="n">
        <v>1200</v>
      </c>
      <c r="AQ86" s="46" t="n">
        <v>1200</v>
      </c>
    </row>
    <row r="87" customFormat="false" ht="14.25" hidden="false" customHeight="false" outlineLevel="0" collapsed="false">
      <c r="A87" s="33" t="s">
        <v>235</v>
      </c>
      <c r="B87" s="33" t="n">
        <v>44935</v>
      </c>
      <c r="C87" s="34" t="s">
        <v>108</v>
      </c>
      <c r="D87" s="35" t="s">
        <v>186</v>
      </c>
      <c r="E87" s="35" t="s">
        <v>27</v>
      </c>
      <c r="F87" s="48" t="s">
        <v>187</v>
      </c>
      <c r="G87" s="37" t="s">
        <v>188</v>
      </c>
      <c r="H87" s="35" t="s">
        <v>112</v>
      </c>
      <c r="I87" s="35" t="s">
        <v>112</v>
      </c>
      <c r="J87" s="38" t="n">
        <v>9</v>
      </c>
      <c r="K87" s="47" t="n">
        <v>0</v>
      </c>
      <c r="L87" s="47" t="n">
        <v>0</v>
      </c>
      <c r="M87" s="47" t="n">
        <v>0.636363636363636</v>
      </c>
      <c r="N87" s="47" t="n">
        <v>1</v>
      </c>
      <c r="O87" s="40" t="n">
        <v>0.409090909090909</v>
      </c>
      <c r="P87" s="41" t="n">
        <v>0.409090909090909</v>
      </c>
      <c r="Q87" s="42" t="n">
        <v>2</v>
      </c>
      <c r="R87" s="42" t="n">
        <v>0</v>
      </c>
      <c r="S87" s="42" t="n">
        <v>2</v>
      </c>
      <c r="T87" s="42" t="n">
        <v>1</v>
      </c>
      <c r="U87" s="43" t="n">
        <v>0</v>
      </c>
      <c r="V87" s="43" t="n">
        <v>0</v>
      </c>
      <c r="W87" s="44" t="n">
        <v>0</v>
      </c>
      <c r="X87" s="44" t="n">
        <v>0</v>
      </c>
      <c r="Y87" s="43" t="n">
        <v>0</v>
      </c>
      <c r="Z87" s="43" t="n">
        <v>0</v>
      </c>
      <c r="AA87" s="44" t="n">
        <v>0</v>
      </c>
      <c r="AB87" s="44" t="n">
        <v>0</v>
      </c>
      <c r="AC87" s="43" t="n">
        <v>0</v>
      </c>
      <c r="AD87" s="43" t="n">
        <v>0</v>
      </c>
      <c r="AE87" s="44" t="n">
        <v>0</v>
      </c>
      <c r="AF87" s="44" t="n">
        <v>0</v>
      </c>
      <c r="AG87" s="43" t="n">
        <v>0</v>
      </c>
      <c r="AH87" s="43" t="n">
        <v>0</v>
      </c>
      <c r="AI87" s="43" t="n">
        <v>0</v>
      </c>
      <c r="AJ87" s="44"/>
      <c r="AK87" s="43" t="n">
        <v>0</v>
      </c>
      <c r="AL87" s="43" t="n">
        <v>0</v>
      </c>
      <c r="AM87" s="45" t="n">
        <v>0.7</v>
      </c>
      <c r="AN87" s="45" t="n">
        <v>0.3</v>
      </c>
      <c r="AO87" s="45" t="n">
        <v>0.409090909090909</v>
      </c>
      <c r="AP87" s="46" t="n">
        <v>1200</v>
      </c>
      <c r="AQ87" s="46" t="n">
        <v>491</v>
      </c>
    </row>
    <row r="88" customFormat="false" ht="14.25" hidden="false" customHeight="false" outlineLevel="0" collapsed="false">
      <c r="A88" s="33" t="s">
        <v>236</v>
      </c>
      <c r="B88" s="33" t="n">
        <v>46097</v>
      </c>
      <c r="C88" s="34" t="s">
        <v>219</v>
      </c>
      <c r="D88" s="35" t="s">
        <v>186</v>
      </c>
      <c r="E88" s="35" t="s">
        <v>27</v>
      </c>
      <c r="F88" s="48" t="s">
        <v>194</v>
      </c>
      <c r="G88" s="37" t="s">
        <v>188</v>
      </c>
      <c r="H88" s="35" t="s">
        <v>112</v>
      </c>
      <c r="I88" s="35" t="s">
        <v>112</v>
      </c>
      <c r="J88" s="38" t="n">
        <v>22</v>
      </c>
      <c r="K88" s="47" t="n">
        <v>1</v>
      </c>
      <c r="L88" s="47" t="n">
        <v>1</v>
      </c>
      <c r="M88" s="47" t="n">
        <v>1</v>
      </c>
      <c r="N88" s="47" t="n">
        <v>1</v>
      </c>
      <c r="O88" s="40" t="n">
        <v>1</v>
      </c>
      <c r="P88" s="41" t="n">
        <v>1</v>
      </c>
      <c r="Q88" s="42" t="n">
        <v>4</v>
      </c>
      <c r="R88" s="42" t="n">
        <v>1</v>
      </c>
      <c r="S88" s="42" t="n">
        <v>5</v>
      </c>
      <c r="T88" s="42" t="n">
        <v>2</v>
      </c>
      <c r="U88" s="43" t="n">
        <v>0</v>
      </c>
      <c r="V88" s="43" t="n">
        <v>0</v>
      </c>
      <c r="W88" s="44" t="n">
        <v>0</v>
      </c>
      <c r="X88" s="44" t="n">
        <v>0</v>
      </c>
      <c r="Y88" s="43" t="n">
        <v>0</v>
      </c>
      <c r="Z88" s="43" t="n">
        <v>0</v>
      </c>
      <c r="AA88" s="44" t="n">
        <v>0</v>
      </c>
      <c r="AB88" s="44" t="n">
        <v>0</v>
      </c>
      <c r="AC88" s="43" t="n">
        <v>0</v>
      </c>
      <c r="AD88" s="43" t="n">
        <v>0</v>
      </c>
      <c r="AE88" s="44" t="n">
        <v>0</v>
      </c>
      <c r="AF88" s="44" t="n">
        <v>0</v>
      </c>
      <c r="AG88" s="43" t="n">
        <v>0</v>
      </c>
      <c r="AH88" s="43" t="n">
        <v>0</v>
      </c>
      <c r="AI88" s="43" t="n">
        <v>0</v>
      </c>
      <c r="AJ88" s="44"/>
      <c r="AK88" s="43" t="n">
        <v>0</v>
      </c>
      <c r="AL88" s="43" t="n">
        <v>0</v>
      </c>
      <c r="AM88" s="45" t="n">
        <v>0.7</v>
      </c>
      <c r="AN88" s="45" t="n">
        <v>0.3</v>
      </c>
      <c r="AO88" s="45" t="n">
        <v>1</v>
      </c>
      <c r="AP88" s="46" t="n">
        <v>1200</v>
      </c>
      <c r="AQ88" s="46" t="n">
        <v>1200</v>
      </c>
    </row>
    <row r="89" customFormat="false" ht="14.25" hidden="false" customHeight="false" outlineLevel="0" collapsed="false">
      <c r="A89" s="33" t="s">
        <v>237</v>
      </c>
      <c r="B89" s="33" t="n">
        <v>46097</v>
      </c>
      <c r="C89" s="34" t="s">
        <v>219</v>
      </c>
      <c r="D89" s="35" t="s">
        <v>186</v>
      </c>
      <c r="E89" s="35" t="s">
        <v>27</v>
      </c>
      <c r="F89" s="48" t="s">
        <v>194</v>
      </c>
      <c r="G89" s="37" t="s">
        <v>188</v>
      </c>
      <c r="H89" s="35" t="s">
        <v>112</v>
      </c>
      <c r="I89" s="35" t="s">
        <v>112</v>
      </c>
      <c r="J89" s="38" t="n">
        <v>22</v>
      </c>
      <c r="K89" s="47" t="n">
        <v>1</v>
      </c>
      <c r="L89" s="47" t="n">
        <v>1</v>
      </c>
      <c r="M89" s="47" t="n">
        <v>1</v>
      </c>
      <c r="N89" s="47" t="n">
        <v>1</v>
      </c>
      <c r="O89" s="40" t="n">
        <v>1</v>
      </c>
      <c r="P89" s="41" t="n">
        <v>1</v>
      </c>
      <c r="Q89" s="42" t="n">
        <v>4</v>
      </c>
      <c r="R89" s="42" t="n">
        <v>1</v>
      </c>
      <c r="S89" s="42" t="n">
        <v>5</v>
      </c>
      <c r="T89" s="42" t="n">
        <v>2</v>
      </c>
      <c r="U89" s="43" t="n">
        <v>0</v>
      </c>
      <c r="V89" s="43" t="n">
        <v>0</v>
      </c>
      <c r="W89" s="44" t="n">
        <v>0</v>
      </c>
      <c r="X89" s="44" t="n">
        <v>0</v>
      </c>
      <c r="Y89" s="43" t="n">
        <v>0</v>
      </c>
      <c r="Z89" s="43" t="n">
        <v>0</v>
      </c>
      <c r="AA89" s="44" t="n">
        <v>0</v>
      </c>
      <c r="AB89" s="44" t="n">
        <v>0</v>
      </c>
      <c r="AC89" s="43" t="n">
        <v>0</v>
      </c>
      <c r="AD89" s="43" t="n">
        <v>0</v>
      </c>
      <c r="AE89" s="44" t="n">
        <v>0</v>
      </c>
      <c r="AF89" s="44" t="n">
        <v>0</v>
      </c>
      <c r="AG89" s="43" t="n">
        <v>0</v>
      </c>
      <c r="AH89" s="43" t="n">
        <v>0</v>
      </c>
      <c r="AI89" s="43" t="n">
        <v>0</v>
      </c>
      <c r="AJ89" s="44"/>
      <c r="AK89" s="43" t="n">
        <v>1</v>
      </c>
      <c r="AL89" s="43" t="n">
        <v>1</v>
      </c>
      <c r="AM89" s="45" t="n">
        <v>0.7</v>
      </c>
      <c r="AN89" s="45" t="n">
        <v>0.3</v>
      </c>
      <c r="AO89" s="45" t="n">
        <v>1</v>
      </c>
      <c r="AP89" s="46" t="n">
        <v>1200</v>
      </c>
      <c r="AQ89" s="46" t="n">
        <v>1200</v>
      </c>
    </row>
    <row r="90" customFormat="false" ht="14.25" hidden="false" customHeight="false" outlineLevel="0" collapsed="false">
      <c r="A90" s="33" t="s">
        <v>238</v>
      </c>
      <c r="B90" s="33" t="n">
        <v>46146</v>
      </c>
      <c r="C90" s="34" t="s">
        <v>126</v>
      </c>
      <c r="D90" s="35" t="s">
        <v>186</v>
      </c>
      <c r="E90" s="35" t="s">
        <v>27</v>
      </c>
      <c r="F90" s="48" t="s">
        <v>194</v>
      </c>
      <c r="G90" s="37" t="s">
        <v>188</v>
      </c>
      <c r="H90" s="35" t="s">
        <v>112</v>
      </c>
      <c r="I90" s="35" t="s">
        <v>112</v>
      </c>
      <c r="J90" s="38" t="n">
        <v>22</v>
      </c>
      <c r="K90" s="47" t="n">
        <v>1</v>
      </c>
      <c r="L90" s="47" t="n">
        <v>1</v>
      </c>
      <c r="M90" s="47" t="n">
        <v>1</v>
      </c>
      <c r="N90" s="47" t="n">
        <v>1</v>
      </c>
      <c r="O90" s="40" t="n">
        <v>1</v>
      </c>
      <c r="P90" s="41" t="n">
        <v>1</v>
      </c>
      <c r="Q90" s="42" t="n">
        <v>4</v>
      </c>
      <c r="R90" s="42" t="n">
        <v>1</v>
      </c>
      <c r="S90" s="42" t="n">
        <v>5</v>
      </c>
      <c r="T90" s="42" t="n">
        <v>4</v>
      </c>
      <c r="U90" s="43" t="n">
        <v>0</v>
      </c>
      <c r="V90" s="43" t="n">
        <v>0</v>
      </c>
      <c r="W90" s="44" t="n">
        <v>0</v>
      </c>
      <c r="X90" s="44" t="n">
        <v>0</v>
      </c>
      <c r="Y90" s="43" t="n">
        <v>0</v>
      </c>
      <c r="Z90" s="43" t="n">
        <v>0</v>
      </c>
      <c r="AA90" s="44" t="n">
        <v>0</v>
      </c>
      <c r="AB90" s="44" t="n">
        <v>0</v>
      </c>
      <c r="AC90" s="43" t="n">
        <v>0</v>
      </c>
      <c r="AD90" s="43" t="n">
        <v>0</v>
      </c>
      <c r="AE90" s="44" t="n">
        <v>0</v>
      </c>
      <c r="AF90" s="44" t="n">
        <v>0</v>
      </c>
      <c r="AG90" s="43" t="n">
        <v>1</v>
      </c>
      <c r="AH90" s="43" t="n">
        <v>3</v>
      </c>
      <c r="AI90" s="43" t="n">
        <v>0</v>
      </c>
      <c r="AJ90" s="44"/>
      <c r="AK90" s="43" t="n">
        <v>0</v>
      </c>
      <c r="AL90" s="43" t="n">
        <v>2</v>
      </c>
      <c r="AM90" s="45" t="n">
        <v>0.7</v>
      </c>
      <c r="AN90" s="45" t="n">
        <v>0.3</v>
      </c>
      <c r="AO90" s="45" t="n">
        <v>1</v>
      </c>
      <c r="AP90" s="46" t="n">
        <v>1200</v>
      </c>
      <c r="AQ90" s="46" t="n">
        <v>1200</v>
      </c>
    </row>
    <row r="91" customFormat="false" ht="14.25" hidden="false" customHeight="false" outlineLevel="0" collapsed="false">
      <c r="A91" s="33" t="s">
        <v>239</v>
      </c>
      <c r="B91" s="33" t="n">
        <v>45973</v>
      </c>
      <c r="C91" s="34" t="s">
        <v>171</v>
      </c>
      <c r="D91" s="35" t="s">
        <v>148</v>
      </c>
      <c r="E91" s="35" t="s">
        <v>24</v>
      </c>
      <c r="F91" s="48" t="s">
        <v>240</v>
      </c>
      <c r="G91" s="37" t="s">
        <v>162</v>
      </c>
      <c r="H91" s="35" t="s">
        <v>112</v>
      </c>
      <c r="I91" s="35" t="s">
        <v>112</v>
      </c>
      <c r="J91" s="38" t="n">
        <v>22</v>
      </c>
      <c r="K91" s="47" t="n">
        <v>1</v>
      </c>
      <c r="L91" s="47" t="n">
        <v>1</v>
      </c>
      <c r="M91" s="47" t="n">
        <v>1</v>
      </c>
      <c r="N91" s="47" t="n">
        <v>1</v>
      </c>
      <c r="O91" s="40" t="n">
        <v>1</v>
      </c>
      <c r="P91" s="41" t="n">
        <v>1</v>
      </c>
      <c r="Q91" s="42" t="n">
        <v>12</v>
      </c>
      <c r="R91" s="42" t="n">
        <v>4</v>
      </c>
      <c r="S91" s="42" t="n">
        <v>16</v>
      </c>
      <c r="T91" s="42" t="n">
        <v>4</v>
      </c>
      <c r="U91" s="43" t="n">
        <v>1</v>
      </c>
      <c r="V91" s="43" t="n">
        <v>1</v>
      </c>
      <c r="W91" s="44" t="n">
        <v>1</v>
      </c>
      <c r="X91" s="44" t="n">
        <v>1</v>
      </c>
      <c r="Y91" s="43" t="n">
        <v>0</v>
      </c>
      <c r="Z91" s="43" t="n">
        <v>0</v>
      </c>
      <c r="AA91" s="44" t="n">
        <v>0</v>
      </c>
      <c r="AB91" s="44" t="n">
        <v>0</v>
      </c>
      <c r="AC91" s="43" t="n">
        <v>0</v>
      </c>
      <c r="AD91" s="43" t="n">
        <v>0</v>
      </c>
      <c r="AE91" s="44" t="n">
        <v>0</v>
      </c>
      <c r="AF91" s="44" t="n">
        <v>0</v>
      </c>
      <c r="AG91" s="43" t="n">
        <v>3</v>
      </c>
      <c r="AH91" s="43" t="n">
        <v>4</v>
      </c>
      <c r="AI91" s="43" t="n">
        <v>1</v>
      </c>
      <c r="AJ91" s="44"/>
      <c r="AK91" s="43" t="n">
        <v>0</v>
      </c>
      <c r="AL91" s="43" t="n">
        <v>8</v>
      </c>
      <c r="AM91" s="45" t="n">
        <v>0.7</v>
      </c>
      <c r="AN91" s="45" t="n">
        <v>0.3</v>
      </c>
      <c r="AO91" s="45" t="n">
        <v>1</v>
      </c>
      <c r="AP91" s="46" t="n">
        <v>1200</v>
      </c>
      <c r="AQ91" s="46" t="n">
        <v>1200</v>
      </c>
    </row>
    <row r="92" customFormat="false" ht="14.25" hidden="false" customHeight="false" outlineLevel="0" collapsed="false">
      <c r="A92" s="33" t="s">
        <v>241</v>
      </c>
      <c r="B92" s="33" t="n">
        <v>45873</v>
      </c>
      <c r="C92" s="34" t="s">
        <v>108</v>
      </c>
      <c r="D92" s="35" t="s">
        <v>148</v>
      </c>
      <c r="E92" s="35" t="s">
        <v>24</v>
      </c>
      <c r="F92" s="48" t="s">
        <v>240</v>
      </c>
      <c r="G92" s="37" t="s">
        <v>162</v>
      </c>
      <c r="H92" s="35" t="s">
        <v>112</v>
      </c>
      <c r="I92" s="35" t="s">
        <v>112</v>
      </c>
      <c r="J92" s="38" t="n">
        <v>22</v>
      </c>
      <c r="K92" s="47" t="n">
        <v>1</v>
      </c>
      <c r="L92" s="47" t="n">
        <v>1</v>
      </c>
      <c r="M92" s="47" t="n">
        <v>1</v>
      </c>
      <c r="N92" s="47" t="n">
        <v>1</v>
      </c>
      <c r="O92" s="40" t="n">
        <v>1</v>
      </c>
      <c r="P92" s="41" t="n">
        <v>1</v>
      </c>
      <c r="Q92" s="42" t="n">
        <v>12</v>
      </c>
      <c r="R92" s="42" t="n">
        <v>4</v>
      </c>
      <c r="S92" s="42" t="n">
        <v>16</v>
      </c>
      <c r="T92" s="42" t="n">
        <v>6</v>
      </c>
      <c r="U92" s="43" t="n">
        <v>1</v>
      </c>
      <c r="V92" s="43" t="n">
        <v>1</v>
      </c>
      <c r="W92" s="44" t="n">
        <v>1</v>
      </c>
      <c r="X92" s="44" t="n">
        <v>1</v>
      </c>
      <c r="Y92" s="43" t="n">
        <v>0</v>
      </c>
      <c r="Z92" s="43" t="n">
        <v>0</v>
      </c>
      <c r="AA92" s="44" t="n">
        <v>0</v>
      </c>
      <c r="AB92" s="44" t="n">
        <v>0</v>
      </c>
      <c r="AC92" s="43" t="n">
        <v>2</v>
      </c>
      <c r="AD92" s="43" t="n">
        <v>0</v>
      </c>
      <c r="AE92" s="44" t="n">
        <v>1</v>
      </c>
      <c r="AF92" s="44" t="n">
        <v>1</v>
      </c>
      <c r="AG92" s="43" t="n">
        <v>5</v>
      </c>
      <c r="AH92" s="43" t="n">
        <v>5</v>
      </c>
      <c r="AI92" s="43" t="n">
        <v>3</v>
      </c>
      <c r="AJ92" s="44"/>
      <c r="AK92" s="43" t="n">
        <v>0</v>
      </c>
      <c r="AL92" s="43" t="n">
        <v>16</v>
      </c>
      <c r="AM92" s="45" t="n">
        <v>0.7</v>
      </c>
      <c r="AN92" s="45" t="n">
        <v>0.3</v>
      </c>
      <c r="AO92" s="45" t="n">
        <v>1</v>
      </c>
      <c r="AP92" s="46" t="n">
        <v>1200</v>
      </c>
      <c r="AQ92" s="46" t="n">
        <v>1200</v>
      </c>
    </row>
    <row r="93" customFormat="false" ht="14.25" hidden="false" customHeight="false" outlineLevel="0" collapsed="false">
      <c r="A93" s="33" t="s">
        <v>242</v>
      </c>
      <c r="B93" s="33" t="n">
        <v>44748</v>
      </c>
      <c r="C93" s="34" t="s">
        <v>108</v>
      </c>
      <c r="D93" s="35" t="s">
        <v>148</v>
      </c>
      <c r="E93" s="35" t="s">
        <v>24</v>
      </c>
      <c r="F93" s="36" t="s">
        <v>240</v>
      </c>
      <c r="G93" s="37" t="s">
        <v>162</v>
      </c>
      <c r="H93" s="35" t="s">
        <v>112</v>
      </c>
      <c r="I93" s="35" t="s">
        <v>112</v>
      </c>
      <c r="J93" s="38" t="n">
        <v>16.5</v>
      </c>
      <c r="K93" s="47" t="n">
        <v>1</v>
      </c>
      <c r="L93" s="47" t="n">
        <v>1</v>
      </c>
      <c r="M93" s="47" t="n">
        <v>1</v>
      </c>
      <c r="N93" s="47" t="n">
        <v>0</v>
      </c>
      <c r="O93" s="40" t="n">
        <v>0.75</v>
      </c>
      <c r="P93" s="41" t="n">
        <v>0.75</v>
      </c>
      <c r="Q93" s="42" t="n">
        <v>9</v>
      </c>
      <c r="R93" s="42" t="n">
        <v>3</v>
      </c>
      <c r="S93" s="42" t="n">
        <v>12</v>
      </c>
      <c r="T93" s="42" t="n">
        <v>5</v>
      </c>
      <c r="U93" s="43" t="n">
        <v>1</v>
      </c>
      <c r="V93" s="43" t="n">
        <v>1</v>
      </c>
      <c r="W93" s="44" t="n">
        <v>1</v>
      </c>
      <c r="X93" s="44" t="n">
        <v>0</v>
      </c>
      <c r="Y93" s="43" t="n">
        <v>1</v>
      </c>
      <c r="Z93" s="43" t="n">
        <v>0</v>
      </c>
      <c r="AA93" s="44" t="n">
        <v>1</v>
      </c>
      <c r="AB93" s="44" t="n">
        <v>0</v>
      </c>
      <c r="AC93" s="43" t="n">
        <v>0</v>
      </c>
      <c r="AD93" s="43" t="n">
        <v>0</v>
      </c>
      <c r="AE93" s="44" t="n">
        <v>0</v>
      </c>
      <c r="AF93" s="44" t="n">
        <v>0</v>
      </c>
      <c r="AG93" s="43" t="n">
        <v>5</v>
      </c>
      <c r="AH93" s="43" t="n">
        <v>6</v>
      </c>
      <c r="AI93" s="43" t="n">
        <v>1</v>
      </c>
      <c r="AJ93" s="44"/>
      <c r="AK93" s="43" t="n">
        <v>0</v>
      </c>
      <c r="AL93" s="43" t="n">
        <v>10</v>
      </c>
      <c r="AM93" s="45" t="n">
        <v>0.7</v>
      </c>
      <c r="AN93" s="45" t="n">
        <v>0.3</v>
      </c>
      <c r="AO93" s="45" t="n">
        <v>0.75</v>
      </c>
      <c r="AP93" s="46" t="n">
        <v>1200</v>
      </c>
      <c r="AQ93" s="46" t="n">
        <v>900</v>
      </c>
    </row>
    <row r="94" customFormat="false" ht="14.25" hidden="false" customHeight="false" outlineLevel="0" collapsed="false">
      <c r="A94" s="33" t="s">
        <v>243</v>
      </c>
      <c r="B94" s="33" t="n">
        <v>45873</v>
      </c>
      <c r="C94" s="34" t="s">
        <v>108</v>
      </c>
      <c r="D94" s="35" t="s">
        <v>148</v>
      </c>
      <c r="E94" s="35" t="s">
        <v>24</v>
      </c>
      <c r="F94" s="36" t="s">
        <v>244</v>
      </c>
      <c r="G94" s="37" t="s">
        <v>162</v>
      </c>
      <c r="H94" s="35" t="s">
        <v>112</v>
      </c>
      <c r="I94" s="35" t="s">
        <v>112</v>
      </c>
      <c r="J94" s="38" t="n">
        <v>22</v>
      </c>
      <c r="K94" s="47" t="n">
        <v>1</v>
      </c>
      <c r="L94" s="47" t="n">
        <v>1</v>
      </c>
      <c r="M94" s="47" t="n">
        <v>1</v>
      </c>
      <c r="N94" s="47" t="n">
        <v>1</v>
      </c>
      <c r="O94" s="40" t="n">
        <v>1</v>
      </c>
      <c r="P94" s="41" t="n">
        <v>1</v>
      </c>
      <c r="Q94" s="42" t="n">
        <v>12</v>
      </c>
      <c r="R94" s="42" t="n">
        <v>4</v>
      </c>
      <c r="S94" s="42" t="n">
        <v>16</v>
      </c>
      <c r="T94" s="42" t="n">
        <v>6</v>
      </c>
      <c r="U94" s="43" t="n">
        <v>1</v>
      </c>
      <c r="V94" s="43" t="n">
        <v>1</v>
      </c>
      <c r="W94" s="44" t="n">
        <v>1</v>
      </c>
      <c r="X94" s="44" t="n">
        <v>1</v>
      </c>
      <c r="Y94" s="43" t="n">
        <v>1</v>
      </c>
      <c r="Z94" s="43" t="n">
        <v>1</v>
      </c>
      <c r="AA94" s="44" t="n">
        <v>1</v>
      </c>
      <c r="AB94" s="44" t="n">
        <v>1</v>
      </c>
      <c r="AC94" s="43" t="n">
        <v>0</v>
      </c>
      <c r="AD94" s="43" t="n">
        <v>0</v>
      </c>
      <c r="AE94" s="44" t="n">
        <v>0</v>
      </c>
      <c r="AF94" s="44" t="n">
        <v>0</v>
      </c>
      <c r="AG94" s="43" t="n">
        <v>1</v>
      </c>
      <c r="AH94" s="43" t="n">
        <v>1</v>
      </c>
      <c r="AI94" s="43" t="n">
        <v>0</v>
      </c>
      <c r="AJ94" s="44"/>
      <c r="AK94" s="43" t="n">
        <v>1</v>
      </c>
      <c r="AL94" s="43" t="n">
        <v>10</v>
      </c>
      <c r="AM94" s="45" t="n">
        <v>0.7</v>
      </c>
      <c r="AN94" s="45" t="n">
        <v>0.3</v>
      </c>
      <c r="AO94" s="45" t="n">
        <v>1</v>
      </c>
      <c r="AP94" s="46" t="n">
        <v>1200</v>
      </c>
      <c r="AQ94" s="46" t="n">
        <v>1200</v>
      </c>
    </row>
    <row r="95" customFormat="false" ht="14.25" hidden="false" customHeight="false" outlineLevel="0" collapsed="false">
      <c r="A95" s="33" t="s">
        <v>245</v>
      </c>
      <c r="B95" s="33" t="n">
        <v>44837</v>
      </c>
      <c r="C95" s="34" t="s">
        <v>108</v>
      </c>
      <c r="D95" s="35" t="s">
        <v>148</v>
      </c>
      <c r="E95" s="35" t="s">
        <v>24</v>
      </c>
      <c r="F95" s="36" t="s">
        <v>240</v>
      </c>
      <c r="G95" s="37" t="s">
        <v>162</v>
      </c>
      <c r="H95" s="35" t="s">
        <v>112</v>
      </c>
      <c r="I95" s="35" t="s">
        <v>112</v>
      </c>
      <c r="J95" s="38" t="n">
        <v>22</v>
      </c>
      <c r="K95" s="47" t="n">
        <v>1</v>
      </c>
      <c r="L95" s="47" t="n">
        <v>1</v>
      </c>
      <c r="M95" s="47" t="n">
        <v>1</v>
      </c>
      <c r="N95" s="47" t="n">
        <v>1</v>
      </c>
      <c r="O95" s="40" t="n">
        <v>1</v>
      </c>
      <c r="P95" s="41" t="n">
        <v>1</v>
      </c>
      <c r="Q95" s="42" t="n">
        <v>12</v>
      </c>
      <c r="R95" s="42" t="n">
        <v>4</v>
      </c>
      <c r="S95" s="42" t="n">
        <v>16</v>
      </c>
      <c r="T95" s="42" t="n">
        <v>4</v>
      </c>
      <c r="U95" s="43" t="n">
        <v>1</v>
      </c>
      <c r="V95" s="43" t="n">
        <v>1</v>
      </c>
      <c r="W95" s="44" t="n">
        <v>1</v>
      </c>
      <c r="X95" s="44" t="n">
        <v>1</v>
      </c>
      <c r="Y95" s="43" t="n">
        <v>0</v>
      </c>
      <c r="Z95" s="43" t="n">
        <v>0</v>
      </c>
      <c r="AA95" s="44" t="n">
        <v>0</v>
      </c>
      <c r="AB95" s="44" t="n">
        <v>0</v>
      </c>
      <c r="AC95" s="43" t="n">
        <v>0</v>
      </c>
      <c r="AD95" s="43" t="n">
        <v>0</v>
      </c>
      <c r="AE95" s="44" t="n">
        <v>0</v>
      </c>
      <c r="AF95" s="44" t="n">
        <v>0</v>
      </c>
      <c r="AG95" s="43" t="n">
        <v>2</v>
      </c>
      <c r="AH95" s="43" t="n">
        <v>2</v>
      </c>
      <c r="AI95" s="43" t="n">
        <v>0</v>
      </c>
      <c r="AJ95" s="44"/>
      <c r="AK95" s="43" t="n">
        <v>0</v>
      </c>
      <c r="AL95" s="43" t="n">
        <v>6</v>
      </c>
      <c r="AM95" s="45" t="n">
        <v>0.7</v>
      </c>
      <c r="AN95" s="45" t="n">
        <v>0.3</v>
      </c>
      <c r="AO95" s="45" t="n">
        <v>1</v>
      </c>
      <c r="AP95" s="46" t="n">
        <v>1200</v>
      </c>
      <c r="AQ95" s="46" t="n">
        <v>1200</v>
      </c>
    </row>
    <row r="96" customFormat="false" ht="14.25" hidden="false" customHeight="false" outlineLevel="0" collapsed="false">
      <c r="A96" s="49" t="s">
        <v>246</v>
      </c>
      <c r="B96" s="33" t="n">
        <v>45505</v>
      </c>
      <c r="C96" s="34" t="s">
        <v>108</v>
      </c>
      <c r="D96" s="35" t="s">
        <v>148</v>
      </c>
      <c r="E96" s="35" t="s">
        <v>24</v>
      </c>
      <c r="F96" s="36" t="s">
        <v>240</v>
      </c>
      <c r="G96" s="37" t="s">
        <v>162</v>
      </c>
      <c r="H96" s="35" t="s">
        <v>112</v>
      </c>
      <c r="I96" s="35" t="s">
        <v>112</v>
      </c>
      <c r="J96" s="38" t="n">
        <v>11</v>
      </c>
      <c r="K96" s="47" t="n">
        <v>1</v>
      </c>
      <c r="L96" s="47" t="n">
        <v>1</v>
      </c>
      <c r="M96" s="47" t="n">
        <v>0</v>
      </c>
      <c r="N96" s="47" t="n">
        <v>0</v>
      </c>
      <c r="O96" s="40" t="n">
        <v>0.5</v>
      </c>
      <c r="P96" s="41" t="n">
        <v>0.5</v>
      </c>
      <c r="Q96" s="42" t="n">
        <v>6</v>
      </c>
      <c r="R96" s="42" t="n">
        <v>2</v>
      </c>
      <c r="S96" s="42" t="n">
        <v>8</v>
      </c>
      <c r="T96" s="42" t="n">
        <v>2</v>
      </c>
      <c r="U96" s="43" t="n">
        <v>2</v>
      </c>
      <c r="V96" s="43" t="n">
        <v>2</v>
      </c>
      <c r="W96" s="44" t="n">
        <v>0</v>
      </c>
      <c r="X96" s="44" t="n">
        <v>0</v>
      </c>
      <c r="Y96" s="43" t="n">
        <v>1</v>
      </c>
      <c r="Z96" s="43" t="n">
        <v>0</v>
      </c>
      <c r="AA96" s="44" t="n">
        <v>0</v>
      </c>
      <c r="AB96" s="44" t="n">
        <v>0</v>
      </c>
      <c r="AC96" s="43" t="n">
        <v>0</v>
      </c>
      <c r="AD96" s="43" t="n">
        <v>2</v>
      </c>
      <c r="AE96" s="44" t="n">
        <v>0</v>
      </c>
      <c r="AF96" s="44" t="n">
        <v>0</v>
      </c>
      <c r="AG96" s="43" t="n">
        <v>4</v>
      </c>
      <c r="AH96" s="43" t="n">
        <v>7</v>
      </c>
      <c r="AI96" s="43" t="n">
        <v>0</v>
      </c>
      <c r="AJ96" s="44"/>
      <c r="AK96" s="43" t="n">
        <v>0</v>
      </c>
      <c r="AL96" s="43" t="n">
        <v>10</v>
      </c>
      <c r="AM96" s="45" t="n">
        <v>0.7</v>
      </c>
      <c r="AN96" s="45" t="n">
        <v>0.3</v>
      </c>
      <c r="AO96" s="45" t="n">
        <v>0.5</v>
      </c>
      <c r="AP96" s="46" t="n">
        <v>1200</v>
      </c>
      <c r="AQ96" s="46" t="n">
        <v>600</v>
      </c>
    </row>
    <row r="97" customFormat="false" ht="14.25" hidden="false" customHeight="false" outlineLevel="0" collapsed="false">
      <c r="A97" s="49" t="s">
        <v>247</v>
      </c>
      <c r="B97" s="33" t="n">
        <v>44867</v>
      </c>
      <c r="C97" s="34" t="s">
        <v>108</v>
      </c>
      <c r="D97" s="35" t="s">
        <v>148</v>
      </c>
      <c r="E97" s="35" t="s">
        <v>24</v>
      </c>
      <c r="F97" s="36" t="s">
        <v>240</v>
      </c>
      <c r="G97" s="37" t="s">
        <v>162</v>
      </c>
      <c r="H97" s="35" t="s">
        <v>112</v>
      </c>
      <c r="I97" s="35" t="s">
        <v>112</v>
      </c>
      <c r="J97" s="38" t="n">
        <v>22</v>
      </c>
      <c r="K97" s="47" t="n">
        <v>1</v>
      </c>
      <c r="L97" s="47" t="n">
        <v>1</v>
      </c>
      <c r="M97" s="47" t="n">
        <v>1</v>
      </c>
      <c r="N97" s="47" t="n">
        <v>1</v>
      </c>
      <c r="O97" s="40" t="n">
        <v>1</v>
      </c>
      <c r="P97" s="41" t="n">
        <v>1</v>
      </c>
      <c r="Q97" s="42" t="n">
        <v>12</v>
      </c>
      <c r="R97" s="42" t="n">
        <v>4</v>
      </c>
      <c r="S97" s="42" t="n">
        <v>16</v>
      </c>
      <c r="T97" s="42" t="n">
        <v>5</v>
      </c>
      <c r="U97" s="43" t="n">
        <v>3</v>
      </c>
      <c r="V97" s="43" t="n">
        <v>3</v>
      </c>
      <c r="W97" s="44" t="n">
        <v>4</v>
      </c>
      <c r="X97" s="44" t="n">
        <v>5</v>
      </c>
      <c r="Y97" s="43" t="n">
        <v>0</v>
      </c>
      <c r="Z97" s="43" t="n">
        <v>2</v>
      </c>
      <c r="AA97" s="44" t="n">
        <v>1</v>
      </c>
      <c r="AB97" s="44" t="n">
        <v>2</v>
      </c>
      <c r="AC97" s="43" t="n">
        <v>0</v>
      </c>
      <c r="AD97" s="43" t="n">
        <v>0</v>
      </c>
      <c r="AE97" s="44" t="n">
        <v>0</v>
      </c>
      <c r="AF97" s="44" t="n">
        <v>0</v>
      </c>
      <c r="AG97" s="43" t="n">
        <v>2</v>
      </c>
      <c r="AH97" s="43" t="n">
        <v>1</v>
      </c>
      <c r="AI97" s="43" t="n">
        <v>0</v>
      </c>
      <c r="AJ97" s="44"/>
      <c r="AK97" s="43" t="n">
        <v>0</v>
      </c>
      <c r="AL97" s="43" t="n">
        <v>23</v>
      </c>
      <c r="AM97" s="45" t="n">
        <v>0.7</v>
      </c>
      <c r="AN97" s="45" t="n">
        <v>0.3</v>
      </c>
      <c r="AO97" s="45" t="n">
        <v>1</v>
      </c>
      <c r="AP97" s="46" t="n">
        <v>1200</v>
      </c>
      <c r="AQ97" s="46" t="n">
        <v>1200</v>
      </c>
    </row>
    <row r="98" customFormat="false" ht="14.25" hidden="false" customHeight="false" outlineLevel="0" collapsed="false">
      <c r="A98" s="49" t="s">
        <v>248</v>
      </c>
      <c r="B98" s="33" t="n">
        <v>46113</v>
      </c>
      <c r="C98" s="34" t="s">
        <v>140</v>
      </c>
      <c r="D98" s="35" t="s">
        <v>148</v>
      </c>
      <c r="E98" s="35" t="s">
        <v>24</v>
      </c>
      <c r="F98" s="36" t="s">
        <v>240</v>
      </c>
      <c r="G98" s="37" t="s">
        <v>162</v>
      </c>
      <c r="H98" s="35" t="s">
        <v>112</v>
      </c>
      <c r="I98" s="35" t="s">
        <v>112</v>
      </c>
      <c r="J98" s="38" t="n">
        <v>22</v>
      </c>
      <c r="K98" s="47" t="n">
        <v>1</v>
      </c>
      <c r="L98" s="47" t="n">
        <v>1</v>
      </c>
      <c r="M98" s="47" t="n">
        <v>1</v>
      </c>
      <c r="N98" s="47" t="n">
        <v>1</v>
      </c>
      <c r="O98" s="40" t="n">
        <v>1</v>
      </c>
      <c r="P98" s="41" t="n">
        <v>1</v>
      </c>
      <c r="Q98" s="42" t="n">
        <v>12</v>
      </c>
      <c r="R98" s="42" t="n">
        <v>4</v>
      </c>
      <c r="S98" s="42" t="n">
        <v>16</v>
      </c>
      <c r="T98" s="42" t="n">
        <v>6</v>
      </c>
      <c r="U98" s="43" t="n">
        <v>0</v>
      </c>
      <c r="V98" s="43" t="n">
        <v>0</v>
      </c>
      <c r="W98" s="44" t="n">
        <v>0</v>
      </c>
      <c r="X98" s="44" t="n">
        <v>0</v>
      </c>
      <c r="Y98" s="43" t="n">
        <v>0</v>
      </c>
      <c r="Z98" s="43" t="n">
        <v>0</v>
      </c>
      <c r="AA98" s="44" t="n">
        <v>0</v>
      </c>
      <c r="AB98" s="44" t="n">
        <v>0</v>
      </c>
      <c r="AC98" s="43" t="n">
        <v>0</v>
      </c>
      <c r="AD98" s="43" t="n">
        <v>0</v>
      </c>
      <c r="AE98" s="44" t="n">
        <v>0</v>
      </c>
      <c r="AF98" s="44" t="n">
        <v>0</v>
      </c>
      <c r="AG98" s="43" t="n">
        <v>1</v>
      </c>
      <c r="AH98" s="43" t="n">
        <v>3</v>
      </c>
      <c r="AI98" s="43" t="n">
        <v>0</v>
      </c>
      <c r="AJ98" s="44"/>
      <c r="AK98" s="43" t="n">
        <v>0</v>
      </c>
      <c r="AL98" s="43" t="n">
        <v>2</v>
      </c>
      <c r="AM98" s="45" t="n">
        <v>0.7</v>
      </c>
      <c r="AN98" s="45" t="n">
        <v>0.3</v>
      </c>
      <c r="AO98" s="45" t="n">
        <v>1</v>
      </c>
      <c r="AP98" s="46" t="n">
        <v>1200</v>
      </c>
      <c r="AQ98" s="46" t="n">
        <v>1200</v>
      </c>
    </row>
    <row r="99" customFormat="false" ht="14.25" hidden="false" customHeight="false" outlineLevel="0" collapsed="false">
      <c r="A99" s="49" t="s">
        <v>249</v>
      </c>
      <c r="B99" s="33" t="n">
        <v>46146</v>
      </c>
      <c r="C99" s="34" t="s">
        <v>126</v>
      </c>
      <c r="D99" s="35" t="s">
        <v>148</v>
      </c>
      <c r="E99" s="35" t="s">
        <v>24</v>
      </c>
      <c r="F99" s="36" t="s">
        <v>240</v>
      </c>
      <c r="G99" s="37" t="s">
        <v>162</v>
      </c>
      <c r="H99" s="35" t="s">
        <v>112</v>
      </c>
      <c r="I99" s="35" t="s">
        <v>112</v>
      </c>
      <c r="J99" s="38" t="n">
        <v>22</v>
      </c>
      <c r="K99" s="47" t="n">
        <v>1</v>
      </c>
      <c r="L99" s="47" t="n">
        <v>1</v>
      </c>
      <c r="M99" s="47" t="n">
        <v>1</v>
      </c>
      <c r="N99" s="47" t="n">
        <v>1</v>
      </c>
      <c r="O99" s="40" t="n">
        <v>1</v>
      </c>
      <c r="P99" s="41" t="n">
        <v>1</v>
      </c>
      <c r="Q99" s="42" t="n">
        <v>12</v>
      </c>
      <c r="R99" s="42" t="n">
        <v>4</v>
      </c>
      <c r="S99" s="42" t="n">
        <v>16</v>
      </c>
      <c r="T99" s="42" t="n">
        <v>5</v>
      </c>
      <c r="U99" s="43" t="n">
        <v>0</v>
      </c>
      <c r="V99" s="43" t="n">
        <v>0</v>
      </c>
      <c r="W99" s="44" t="n">
        <v>0</v>
      </c>
      <c r="X99" s="44" t="n">
        <v>0</v>
      </c>
      <c r="Y99" s="43" t="n">
        <v>1</v>
      </c>
      <c r="Z99" s="43" t="n">
        <v>0</v>
      </c>
      <c r="AA99" s="44" t="n">
        <v>1</v>
      </c>
      <c r="AB99" s="44" t="n">
        <v>1</v>
      </c>
      <c r="AC99" s="43" t="n">
        <v>1</v>
      </c>
      <c r="AD99" s="43" t="n">
        <v>0</v>
      </c>
      <c r="AE99" s="44" t="n">
        <v>1</v>
      </c>
      <c r="AF99" s="44" t="n">
        <v>1</v>
      </c>
      <c r="AG99" s="43" t="n">
        <v>4</v>
      </c>
      <c r="AH99" s="43" t="n">
        <v>2</v>
      </c>
      <c r="AI99" s="43" t="n">
        <v>0</v>
      </c>
      <c r="AJ99" s="44"/>
      <c r="AK99" s="43" t="n">
        <v>0</v>
      </c>
      <c r="AL99" s="43" t="n">
        <v>10</v>
      </c>
      <c r="AM99" s="45" t="n">
        <v>0.7</v>
      </c>
      <c r="AN99" s="45" t="n">
        <v>0.3</v>
      </c>
      <c r="AO99" s="45" t="n">
        <v>1</v>
      </c>
      <c r="AP99" s="46" t="n">
        <v>1200</v>
      </c>
      <c r="AQ99" s="46" t="n">
        <v>1200</v>
      </c>
    </row>
    <row r="100" customFormat="false" ht="14.25" hidden="false" customHeight="false" outlineLevel="0" collapsed="false">
      <c r="A100" s="49" t="s">
        <v>250</v>
      </c>
      <c r="B100" s="33" t="n">
        <v>46062</v>
      </c>
      <c r="C100" s="34" t="s">
        <v>134</v>
      </c>
      <c r="D100" s="35" t="s">
        <v>148</v>
      </c>
      <c r="E100" s="50" t="s">
        <v>24</v>
      </c>
      <c r="F100" s="36" t="s">
        <v>240</v>
      </c>
      <c r="G100" s="37" t="s">
        <v>162</v>
      </c>
      <c r="H100" s="35" t="s">
        <v>112</v>
      </c>
      <c r="I100" s="35" t="s">
        <v>112</v>
      </c>
      <c r="J100" s="38" t="n">
        <v>22</v>
      </c>
      <c r="K100" s="47" t="n">
        <v>1</v>
      </c>
      <c r="L100" s="47" t="n">
        <v>1</v>
      </c>
      <c r="M100" s="47" t="n">
        <v>1</v>
      </c>
      <c r="N100" s="47" t="n">
        <v>1</v>
      </c>
      <c r="O100" s="40" t="n">
        <v>1</v>
      </c>
      <c r="P100" s="41" t="n">
        <v>1</v>
      </c>
      <c r="Q100" s="42" t="n">
        <v>12</v>
      </c>
      <c r="R100" s="42" t="n">
        <v>4</v>
      </c>
      <c r="S100" s="42" t="n">
        <v>16</v>
      </c>
      <c r="T100" s="42" t="n">
        <v>6</v>
      </c>
      <c r="U100" s="43" t="n">
        <v>0</v>
      </c>
      <c r="V100" s="43" t="n">
        <v>0</v>
      </c>
      <c r="W100" s="44" t="n">
        <v>0</v>
      </c>
      <c r="X100" s="44" t="n">
        <v>0</v>
      </c>
      <c r="Y100" s="43" t="n">
        <v>0</v>
      </c>
      <c r="Z100" s="43" t="n">
        <v>0</v>
      </c>
      <c r="AA100" s="44" t="n">
        <v>0</v>
      </c>
      <c r="AB100" s="44" t="n">
        <v>0</v>
      </c>
      <c r="AC100" s="43" t="n">
        <v>0</v>
      </c>
      <c r="AD100" s="43" t="n">
        <v>1</v>
      </c>
      <c r="AE100" s="44" t="n">
        <v>1</v>
      </c>
      <c r="AF100" s="44" t="n">
        <v>2</v>
      </c>
      <c r="AG100" s="43" t="n">
        <v>6</v>
      </c>
      <c r="AH100" s="43" t="n">
        <v>2</v>
      </c>
      <c r="AI100" s="43" t="n">
        <v>1</v>
      </c>
      <c r="AJ100" s="44"/>
      <c r="AK100" s="43" t="n">
        <v>1</v>
      </c>
      <c r="AL100" s="43" t="n">
        <v>9</v>
      </c>
      <c r="AM100" s="45" t="n">
        <v>0.7</v>
      </c>
      <c r="AN100" s="45" t="n">
        <v>0.3</v>
      </c>
      <c r="AO100" s="45" t="n">
        <v>1</v>
      </c>
      <c r="AP100" s="46" t="n">
        <v>1200</v>
      </c>
      <c r="AQ100" s="46" t="n">
        <v>1200</v>
      </c>
    </row>
    <row r="101" customFormat="false" ht="14.25" hidden="false" customHeight="false" outlineLevel="0" collapsed="false">
      <c r="A101" s="49" t="s">
        <v>251</v>
      </c>
      <c r="B101" s="33" t="n">
        <v>44879</v>
      </c>
      <c r="C101" s="34" t="s">
        <v>108</v>
      </c>
      <c r="D101" s="35" t="s">
        <v>148</v>
      </c>
      <c r="E101" s="50" t="s">
        <v>28</v>
      </c>
      <c r="F101" s="36" t="s">
        <v>149</v>
      </c>
      <c r="G101" s="37" t="s">
        <v>150</v>
      </c>
      <c r="H101" s="35" t="s">
        <v>112</v>
      </c>
      <c r="I101" s="35" t="s">
        <v>112</v>
      </c>
      <c r="J101" s="38" t="n">
        <v>22</v>
      </c>
      <c r="K101" s="47" t="n">
        <v>1</v>
      </c>
      <c r="L101" s="47" t="n">
        <v>1</v>
      </c>
      <c r="M101" s="47" t="n">
        <v>1</v>
      </c>
      <c r="N101" s="47" t="n">
        <v>1</v>
      </c>
      <c r="O101" s="40" t="n">
        <v>1</v>
      </c>
      <c r="P101" s="41" t="n">
        <v>1</v>
      </c>
      <c r="Q101" s="42" t="n">
        <v>23</v>
      </c>
      <c r="R101" s="42" t="n">
        <v>7</v>
      </c>
      <c r="S101" s="42" t="n">
        <v>30</v>
      </c>
      <c r="T101" s="42" t="n">
        <v>9</v>
      </c>
      <c r="U101" s="43" t="n">
        <v>6</v>
      </c>
      <c r="V101" s="43" t="n">
        <v>6</v>
      </c>
      <c r="W101" s="44" t="n">
        <v>7</v>
      </c>
      <c r="X101" s="44" t="n">
        <v>9</v>
      </c>
      <c r="Y101" s="43" t="n">
        <v>0</v>
      </c>
      <c r="Z101" s="43" t="n">
        <v>3</v>
      </c>
      <c r="AA101" s="44" t="n">
        <v>2</v>
      </c>
      <c r="AB101" s="44" t="n">
        <v>3</v>
      </c>
      <c r="AC101" s="43" t="n">
        <v>0</v>
      </c>
      <c r="AD101" s="43" t="n">
        <v>1</v>
      </c>
      <c r="AE101" s="44" t="n">
        <v>1</v>
      </c>
      <c r="AF101" s="44" t="n">
        <v>2</v>
      </c>
      <c r="AG101" s="43" t="n">
        <v>4</v>
      </c>
      <c r="AH101" s="43" t="n">
        <v>9</v>
      </c>
      <c r="AI101" s="43" t="n">
        <v>0</v>
      </c>
      <c r="AJ101" s="44"/>
      <c r="AK101" s="43" t="n">
        <v>0</v>
      </c>
      <c r="AL101" s="43" t="n">
        <v>44</v>
      </c>
      <c r="AM101" s="45" t="n">
        <v>0.7</v>
      </c>
      <c r="AN101" s="45" t="n">
        <v>0.3</v>
      </c>
      <c r="AO101" s="45" t="n">
        <v>1</v>
      </c>
      <c r="AP101" s="46" t="n">
        <v>1200</v>
      </c>
      <c r="AQ101" s="46" t="n">
        <v>1200</v>
      </c>
    </row>
    <row r="102" customFormat="false" ht="14.25" hidden="false" customHeight="false" outlineLevel="0" collapsed="false">
      <c r="A102" s="49" t="s">
        <v>252</v>
      </c>
      <c r="B102" s="33" t="n">
        <v>44900</v>
      </c>
      <c r="C102" s="34" t="s">
        <v>108</v>
      </c>
      <c r="D102" s="35" t="s">
        <v>148</v>
      </c>
      <c r="E102" s="50" t="s">
        <v>28</v>
      </c>
      <c r="F102" s="36" t="s">
        <v>149</v>
      </c>
      <c r="G102" s="37" t="s">
        <v>150</v>
      </c>
      <c r="H102" s="35" t="s">
        <v>112</v>
      </c>
      <c r="I102" s="35" t="s">
        <v>112</v>
      </c>
      <c r="J102" s="38" t="n">
        <v>22</v>
      </c>
      <c r="K102" s="47" t="n">
        <v>1</v>
      </c>
      <c r="L102" s="47" t="n">
        <v>1</v>
      </c>
      <c r="M102" s="47" t="n">
        <v>1</v>
      </c>
      <c r="N102" s="47" t="n">
        <v>1</v>
      </c>
      <c r="O102" s="40" t="n">
        <v>1</v>
      </c>
      <c r="P102" s="41" t="n">
        <v>1</v>
      </c>
      <c r="Q102" s="42" t="n">
        <v>23</v>
      </c>
      <c r="R102" s="42" t="n">
        <v>7</v>
      </c>
      <c r="S102" s="42" t="n">
        <v>30</v>
      </c>
      <c r="T102" s="42" t="n">
        <v>11</v>
      </c>
      <c r="U102" s="43" t="n">
        <v>1</v>
      </c>
      <c r="V102" s="43" t="n">
        <v>1</v>
      </c>
      <c r="W102" s="44" t="n">
        <v>1</v>
      </c>
      <c r="X102" s="44" t="n">
        <v>1</v>
      </c>
      <c r="Y102" s="43" t="n">
        <v>0</v>
      </c>
      <c r="Z102" s="43" t="n">
        <v>1</v>
      </c>
      <c r="AA102" s="44" t="n">
        <v>1</v>
      </c>
      <c r="AB102" s="44" t="n">
        <v>1</v>
      </c>
      <c r="AC102" s="43" t="n">
        <v>1</v>
      </c>
      <c r="AD102" s="43" t="n">
        <v>0</v>
      </c>
      <c r="AE102" s="44" t="n">
        <v>1</v>
      </c>
      <c r="AF102" s="44" t="n">
        <v>1</v>
      </c>
      <c r="AG102" s="43" t="n">
        <v>3</v>
      </c>
      <c r="AH102" s="43" t="n">
        <v>6</v>
      </c>
      <c r="AI102" s="43" t="n">
        <v>0</v>
      </c>
      <c r="AJ102" s="44"/>
      <c r="AK102" s="43" t="n">
        <v>0</v>
      </c>
      <c r="AL102" s="43" t="n">
        <v>15</v>
      </c>
      <c r="AM102" s="45" t="n">
        <v>0.7</v>
      </c>
      <c r="AN102" s="45" t="n">
        <v>0.3</v>
      </c>
      <c r="AO102" s="45" t="n">
        <v>1</v>
      </c>
      <c r="AP102" s="46" t="n">
        <v>1200</v>
      </c>
      <c r="AQ102" s="46" t="n">
        <v>1200</v>
      </c>
    </row>
    <row r="103" customFormat="false" ht="14.25" hidden="false" customHeight="false" outlineLevel="0" collapsed="false">
      <c r="A103" s="49" t="s">
        <v>253</v>
      </c>
      <c r="B103" s="33" t="n">
        <v>45488</v>
      </c>
      <c r="C103" s="34" t="s">
        <v>108</v>
      </c>
      <c r="D103" s="35" t="s">
        <v>148</v>
      </c>
      <c r="E103" s="50" t="s">
        <v>28</v>
      </c>
      <c r="F103" s="36" t="s">
        <v>152</v>
      </c>
      <c r="G103" s="37" t="s">
        <v>150</v>
      </c>
      <c r="H103" s="35" t="s">
        <v>112</v>
      </c>
      <c r="I103" s="35" t="s">
        <v>112</v>
      </c>
      <c r="J103" s="38" t="n">
        <v>22</v>
      </c>
      <c r="K103" s="47" t="n">
        <v>1</v>
      </c>
      <c r="L103" s="47" t="n">
        <v>1</v>
      </c>
      <c r="M103" s="47" t="n">
        <v>1</v>
      </c>
      <c r="N103" s="47" t="n">
        <v>1</v>
      </c>
      <c r="O103" s="40" t="n">
        <v>1</v>
      </c>
      <c r="P103" s="41" t="n">
        <v>1</v>
      </c>
      <c r="Q103" s="42" t="n">
        <v>23</v>
      </c>
      <c r="R103" s="42" t="n">
        <v>7</v>
      </c>
      <c r="S103" s="42" t="n">
        <v>30</v>
      </c>
      <c r="T103" s="42" t="n">
        <v>11</v>
      </c>
      <c r="U103" s="43" t="n">
        <v>1</v>
      </c>
      <c r="V103" s="43" t="n">
        <v>1</v>
      </c>
      <c r="W103" s="44" t="n">
        <v>1</v>
      </c>
      <c r="X103" s="44" t="n">
        <v>1</v>
      </c>
      <c r="Y103" s="43" t="n">
        <v>0</v>
      </c>
      <c r="Z103" s="43" t="n">
        <v>0</v>
      </c>
      <c r="AA103" s="44" t="n">
        <v>0</v>
      </c>
      <c r="AB103" s="44" t="n">
        <v>0</v>
      </c>
      <c r="AC103" s="43" t="n">
        <v>0</v>
      </c>
      <c r="AD103" s="43" t="n">
        <v>0</v>
      </c>
      <c r="AE103" s="44" t="n">
        <v>0</v>
      </c>
      <c r="AF103" s="44" t="n">
        <v>0</v>
      </c>
      <c r="AG103" s="43" t="n">
        <v>6</v>
      </c>
      <c r="AH103" s="43" t="n">
        <v>8</v>
      </c>
      <c r="AI103" s="43" t="n">
        <v>1</v>
      </c>
      <c r="AJ103" s="44"/>
      <c r="AK103" s="43" t="n">
        <v>0</v>
      </c>
      <c r="AL103" s="43" t="n">
        <v>11</v>
      </c>
      <c r="AM103" s="45" t="n">
        <v>0.7</v>
      </c>
      <c r="AN103" s="45" t="n">
        <v>0.3</v>
      </c>
      <c r="AO103" s="45" t="n">
        <v>1</v>
      </c>
      <c r="AP103" s="46" t="n">
        <v>1200</v>
      </c>
      <c r="AQ103" s="46" t="n">
        <v>1200</v>
      </c>
    </row>
    <row r="104" customFormat="false" ht="14.25" hidden="false" customHeight="false" outlineLevel="0" collapsed="false">
      <c r="A104" s="49" t="s">
        <v>254</v>
      </c>
      <c r="B104" s="33" t="n">
        <v>44207</v>
      </c>
      <c r="C104" s="34" t="s">
        <v>108</v>
      </c>
      <c r="D104" s="35" t="s">
        <v>148</v>
      </c>
      <c r="E104" s="50" t="s">
        <v>28</v>
      </c>
      <c r="F104" s="36" t="s">
        <v>152</v>
      </c>
      <c r="G104" s="37" t="s">
        <v>150</v>
      </c>
      <c r="H104" s="35" t="s">
        <v>112</v>
      </c>
      <c r="I104" s="35" t="s">
        <v>112</v>
      </c>
      <c r="J104" s="38" t="n">
        <v>22</v>
      </c>
      <c r="K104" s="47" t="n">
        <v>1</v>
      </c>
      <c r="L104" s="47" t="n">
        <v>1</v>
      </c>
      <c r="M104" s="47" t="n">
        <v>1</v>
      </c>
      <c r="N104" s="47" t="n">
        <v>1</v>
      </c>
      <c r="O104" s="40" t="n">
        <v>1</v>
      </c>
      <c r="P104" s="41" t="n">
        <v>1</v>
      </c>
      <c r="Q104" s="42" t="n">
        <v>23</v>
      </c>
      <c r="R104" s="42" t="n">
        <v>7</v>
      </c>
      <c r="S104" s="42" t="n">
        <v>30</v>
      </c>
      <c r="T104" s="42" t="n">
        <v>11</v>
      </c>
      <c r="U104" s="43" t="n">
        <v>3</v>
      </c>
      <c r="V104" s="43" t="n">
        <v>3</v>
      </c>
      <c r="W104" s="44" t="n">
        <v>4</v>
      </c>
      <c r="X104" s="44" t="n">
        <v>5</v>
      </c>
      <c r="Y104" s="43" t="n">
        <v>3</v>
      </c>
      <c r="Z104" s="43" t="n">
        <v>1</v>
      </c>
      <c r="AA104" s="44" t="n">
        <v>2</v>
      </c>
      <c r="AB104" s="44" t="n">
        <v>2</v>
      </c>
      <c r="AC104" s="43" t="n">
        <v>1</v>
      </c>
      <c r="AD104" s="43" t="n">
        <v>0</v>
      </c>
      <c r="AE104" s="44" t="n">
        <v>1</v>
      </c>
      <c r="AF104" s="44" t="n">
        <v>1</v>
      </c>
      <c r="AG104" s="43" t="n">
        <v>3</v>
      </c>
      <c r="AH104" s="43" t="n">
        <v>4</v>
      </c>
      <c r="AI104" s="43" t="n">
        <v>1</v>
      </c>
      <c r="AJ104" s="44"/>
      <c r="AK104" s="43" t="n">
        <v>0</v>
      </c>
      <c r="AL104" s="43" t="n">
        <v>32</v>
      </c>
      <c r="AM104" s="45" t="n">
        <v>0.7</v>
      </c>
      <c r="AN104" s="45" t="n">
        <v>0.3</v>
      </c>
      <c r="AO104" s="45" t="n">
        <v>1</v>
      </c>
      <c r="AP104" s="46" t="n">
        <v>1200</v>
      </c>
      <c r="AQ104" s="46" t="n">
        <v>1200</v>
      </c>
    </row>
    <row r="105" customFormat="false" ht="14.25" hidden="false" customHeight="false" outlineLevel="0" collapsed="false">
      <c r="A105" s="49" t="s">
        <v>255</v>
      </c>
      <c r="B105" s="33" t="n">
        <v>44959</v>
      </c>
      <c r="C105" s="34" t="s">
        <v>108</v>
      </c>
      <c r="D105" s="35" t="s">
        <v>148</v>
      </c>
      <c r="E105" s="50" t="s">
        <v>28</v>
      </c>
      <c r="F105" s="36" t="s">
        <v>149</v>
      </c>
      <c r="G105" s="37" t="s">
        <v>150</v>
      </c>
      <c r="H105" s="35" t="s">
        <v>112</v>
      </c>
      <c r="I105" s="35" t="s">
        <v>112</v>
      </c>
      <c r="J105" s="38" t="n">
        <v>22</v>
      </c>
      <c r="K105" s="47" t="n">
        <v>1</v>
      </c>
      <c r="L105" s="47" t="n">
        <v>1</v>
      </c>
      <c r="M105" s="47" t="n">
        <v>1</v>
      </c>
      <c r="N105" s="47" t="n">
        <v>1</v>
      </c>
      <c r="O105" s="40" t="n">
        <v>1</v>
      </c>
      <c r="P105" s="41" t="n">
        <v>1</v>
      </c>
      <c r="Q105" s="42" t="n">
        <v>23</v>
      </c>
      <c r="R105" s="42" t="n">
        <v>7</v>
      </c>
      <c r="S105" s="42" t="n">
        <v>30</v>
      </c>
      <c r="T105" s="42" t="n">
        <v>12</v>
      </c>
      <c r="U105" s="43" t="n">
        <v>3</v>
      </c>
      <c r="V105" s="43" t="n">
        <v>3</v>
      </c>
      <c r="W105" s="44" t="n">
        <v>4</v>
      </c>
      <c r="X105" s="44" t="n">
        <v>5</v>
      </c>
      <c r="Y105" s="43" t="n">
        <v>1</v>
      </c>
      <c r="Z105" s="43" t="n">
        <v>1</v>
      </c>
      <c r="AA105" s="44" t="n">
        <v>1</v>
      </c>
      <c r="AB105" s="44" t="n">
        <v>1</v>
      </c>
      <c r="AC105" s="43" t="n">
        <v>0</v>
      </c>
      <c r="AD105" s="43" t="n">
        <v>0</v>
      </c>
      <c r="AE105" s="44" t="n">
        <v>0</v>
      </c>
      <c r="AF105" s="44" t="n">
        <v>0</v>
      </c>
      <c r="AG105" s="43" t="n">
        <v>7</v>
      </c>
      <c r="AH105" s="43" t="n">
        <v>8</v>
      </c>
      <c r="AI105" s="43" t="n">
        <v>1</v>
      </c>
      <c r="AJ105" s="44"/>
      <c r="AK105" s="43" t="n">
        <v>0</v>
      </c>
      <c r="AL105" s="43" t="n">
        <v>34</v>
      </c>
      <c r="AM105" s="45" t="n">
        <v>0.7</v>
      </c>
      <c r="AN105" s="45" t="n">
        <v>0.3</v>
      </c>
      <c r="AO105" s="45" t="n">
        <v>1</v>
      </c>
      <c r="AP105" s="46" t="n">
        <v>1200</v>
      </c>
      <c r="AQ105" s="46" t="n">
        <v>1200</v>
      </c>
    </row>
    <row r="106" customFormat="false" ht="14.25" hidden="false" customHeight="false" outlineLevel="0" collapsed="false">
      <c r="A106" s="49" t="s">
        <v>256</v>
      </c>
      <c r="B106" s="33" t="n">
        <v>45537</v>
      </c>
      <c r="C106" s="34" t="s">
        <v>108</v>
      </c>
      <c r="D106" s="35" t="s">
        <v>148</v>
      </c>
      <c r="E106" s="50" t="s">
        <v>28</v>
      </c>
      <c r="F106" s="36" t="s">
        <v>149</v>
      </c>
      <c r="G106" s="37" t="s">
        <v>150</v>
      </c>
      <c r="H106" s="35" t="s">
        <v>112</v>
      </c>
      <c r="I106" s="35" t="s">
        <v>112</v>
      </c>
      <c r="J106" s="38" t="n">
        <v>22</v>
      </c>
      <c r="K106" s="47" t="n">
        <v>1</v>
      </c>
      <c r="L106" s="47" t="n">
        <v>1</v>
      </c>
      <c r="M106" s="47" t="n">
        <v>1</v>
      </c>
      <c r="N106" s="47" t="n">
        <v>1</v>
      </c>
      <c r="O106" s="40" t="n">
        <v>1</v>
      </c>
      <c r="P106" s="41" t="n">
        <v>1</v>
      </c>
      <c r="Q106" s="42" t="n">
        <v>23</v>
      </c>
      <c r="R106" s="42" t="n">
        <v>7</v>
      </c>
      <c r="S106" s="42" t="n">
        <v>30</v>
      </c>
      <c r="T106" s="42" t="n">
        <v>10</v>
      </c>
      <c r="U106" s="43" t="n">
        <v>1</v>
      </c>
      <c r="V106" s="43" t="n">
        <v>1</v>
      </c>
      <c r="W106" s="44" t="n">
        <v>1</v>
      </c>
      <c r="X106" s="44" t="n">
        <v>1</v>
      </c>
      <c r="Y106" s="43" t="n">
        <v>0</v>
      </c>
      <c r="Z106" s="43" t="n">
        <v>0</v>
      </c>
      <c r="AA106" s="44" t="n">
        <v>0</v>
      </c>
      <c r="AB106" s="44" t="n">
        <v>0</v>
      </c>
      <c r="AC106" s="43" t="n">
        <v>0</v>
      </c>
      <c r="AD106" s="43" t="n">
        <v>1</v>
      </c>
      <c r="AE106" s="44" t="n">
        <v>1</v>
      </c>
      <c r="AF106" s="44" t="n">
        <v>2</v>
      </c>
      <c r="AG106" s="43" t="n">
        <v>6</v>
      </c>
      <c r="AH106" s="43" t="n">
        <v>5</v>
      </c>
      <c r="AI106" s="43" t="n">
        <v>1</v>
      </c>
      <c r="AJ106" s="44"/>
      <c r="AK106" s="43" t="n">
        <v>0</v>
      </c>
      <c r="AL106" s="43" t="n">
        <v>17</v>
      </c>
      <c r="AM106" s="45" t="n">
        <v>0.7</v>
      </c>
      <c r="AN106" s="45" t="n">
        <v>0.3</v>
      </c>
      <c r="AO106" s="45" t="n">
        <v>1</v>
      </c>
      <c r="AP106" s="46" t="n">
        <v>1200</v>
      </c>
      <c r="AQ106" s="46" t="n">
        <v>1200</v>
      </c>
    </row>
    <row r="107" customFormat="false" ht="14.25" hidden="false" customHeight="false" outlineLevel="0" collapsed="false">
      <c r="A107" s="49" t="s">
        <v>257</v>
      </c>
      <c r="B107" s="33" t="n">
        <v>44669</v>
      </c>
      <c r="C107" s="34" t="s">
        <v>108</v>
      </c>
      <c r="D107" s="35" t="s">
        <v>148</v>
      </c>
      <c r="E107" s="50" t="s">
        <v>28</v>
      </c>
      <c r="F107" s="36" t="s">
        <v>152</v>
      </c>
      <c r="G107" s="37" t="s">
        <v>150</v>
      </c>
      <c r="H107" s="35" t="s">
        <v>112</v>
      </c>
      <c r="I107" s="35" t="s">
        <v>112</v>
      </c>
      <c r="J107" s="38" t="n">
        <v>22</v>
      </c>
      <c r="K107" s="47" t="n">
        <v>1</v>
      </c>
      <c r="L107" s="47" t="n">
        <v>1</v>
      </c>
      <c r="M107" s="47" t="n">
        <v>1</v>
      </c>
      <c r="N107" s="47" t="n">
        <v>1</v>
      </c>
      <c r="O107" s="40" t="n">
        <v>1</v>
      </c>
      <c r="P107" s="41" t="n">
        <v>1</v>
      </c>
      <c r="Q107" s="42" t="n">
        <v>23</v>
      </c>
      <c r="R107" s="42" t="n">
        <v>7</v>
      </c>
      <c r="S107" s="42" t="n">
        <v>30</v>
      </c>
      <c r="T107" s="42" t="n">
        <v>10</v>
      </c>
      <c r="U107" s="43" t="n">
        <v>2</v>
      </c>
      <c r="V107" s="43" t="n">
        <v>2</v>
      </c>
      <c r="W107" s="44" t="n">
        <v>2</v>
      </c>
      <c r="X107" s="44" t="n">
        <v>3</v>
      </c>
      <c r="Y107" s="43" t="n">
        <v>0</v>
      </c>
      <c r="Z107" s="43" t="n">
        <v>1</v>
      </c>
      <c r="AA107" s="44" t="n">
        <v>1</v>
      </c>
      <c r="AB107" s="44" t="n">
        <v>1</v>
      </c>
      <c r="AC107" s="43" t="n">
        <v>0</v>
      </c>
      <c r="AD107" s="43" t="n">
        <v>0</v>
      </c>
      <c r="AE107" s="44" t="n">
        <v>0</v>
      </c>
      <c r="AF107" s="44" t="n">
        <v>0</v>
      </c>
      <c r="AG107" s="43" t="n">
        <v>3</v>
      </c>
      <c r="AH107" s="43" t="n">
        <v>8</v>
      </c>
      <c r="AI107" s="43" t="n">
        <v>4</v>
      </c>
      <c r="AJ107" s="44"/>
      <c r="AK107" s="43" t="n">
        <v>0</v>
      </c>
      <c r="AL107" s="43" t="n">
        <v>18</v>
      </c>
      <c r="AM107" s="45" t="n">
        <v>0.7</v>
      </c>
      <c r="AN107" s="45" t="n">
        <v>0.3</v>
      </c>
      <c r="AO107" s="45" t="n">
        <v>1</v>
      </c>
      <c r="AP107" s="46" t="n">
        <v>1200</v>
      </c>
      <c r="AQ107" s="46" t="n">
        <v>1200</v>
      </c>
    </row>
    <row r="108" customFormat="false" ht="14.25" hidden="false" customHeight="false" outlineLevel="0" collapsed="false">
      <c r="A108" s="49" t="s">
        <v>258</v>
      </c>
      <c r="B108" s="33" t="n">
        <v>44959</v>
      </c>
      <c r="C108" s="34" t="s">
        <v>108</v>
      </c>
      <c r="D108" s="35" t="s">
        <v>148</v>
      </c>
      <c r="E108" s="50" t="s">
        <v>28</v>
      </c>
      <c r="F108" s="36" t="s">
        <v>152</v>
      </c>
      <c r="G108" s="37" t="s">
        <v>150</v>
      </c>
      <c r="H108" s="35" t="s">
        <v>112</v>
      </c>
      <c r="I108" s="35" t="s">
        <v>112</v>
      </c>
      <c r="J108" s="38" t="n">
        <v>22</v>
      </c>
      <c r="K108" s="47" t="n">
        <v>1</v>
      </c>
      <c r="L108" s="47" t="n">
        <v>1</v>
      </c>
      <c r="M108" s="47" t="n">
        <v>1</v>
      </c>
      <c r="N108" s="47" t="n">
        <v>1</v>
      </c>
      <c r="O108" s="40" t="n">
        <v>1</v>
      </c>
      <c r="P108" s="41" t="n">
        <v>1</v>
      </c>
      <c r="Q108" s="42" t="n">
        <v>23</v>
      </c>
      <c r="R108" s="42" t="n">
        <v>7</v>
      </c>
      <c r="S108" s="42" t="n">
        <v>30</v>
      </c>
      <c r="T108" s="42" t="n">
        <v>11</v>
      </c>
      <c r="U108" s="43" t="n">
        <v>3</v>
      </c>
      <c r="V108" s="43" t="n">
        <v>3</v>
      </c>
      <c r="W108" s="44" t="n">
        <v>4</v>
      </c>
      <c r="X108" s="44" t="n">
        <v>5</v>
      </c>
      <c r="Y108" s="43" t="n">
        <v>0</v>
      </c>
      <c r="Z108" s="43" t="n">
        <v>0</v>
      </c>
      <c r="AA108" s="44" t="n">
        <v>0</v>
      </c>
      <c r="AB108" s="44" t="n">
        <v>0</v>
      </c>
      <c r="AC108" s="43" t="n">
        <v>0</v>
      </c>
      <c r="AD108" s="43" t="n">
        <v>1</v>
      </c>
      <c r="AE108" s="44" t="n">
        <v>1</v>
      </c>
      <c r="AF108" s="44" t="n">
        <v>2</v>
      </c>
      <c r="AG108" s="43" t="n">
        <v>8</v>
      </c>
      <c r="AH108" s="43" t="n">
        <v>6</v>
      </c>
      <c r="AI108" s="43" t="n">
        <v>2</v>
      </c>
      <c r="AJ108" s="44"/>
      <c r="AK108" s="43" t="n">
        <v>1</v>
      </c>
      <c r="AL108" s="43" t="n">
        <v>27</v>
      </c>
      <c r="AM108" s="45" t="n">
        <v>0.7</v>
      </c>
      <c r="AN108" s="45" t="n">
        <v>0.3</v>
      </c>
      <c r="AO108" s="45" t="n">
        <v>1</v>
      </c>
      <c r="AP108" s="46" t="n">
        <v>1800</v>
      </c>
      <c r="AQ108" s="46" t="n">
        <v>1800</v>
      </c>
    </row>
    <row r="109" customFormat="false" ht="14.25" hidden="false" customHeight="false" outlineLevel="0" collapsed="false">
      <c r="A109" s="49" t="s">
        <v>259</v>
      </c>
      <c r="B109" s="33" t="n">
        <v>45882</v>
      </c>
      <c r="C109" s="34" t="s">
        <v>108</v>
      </c>
      <c r="D109" s="35" t="s">
        <v>148</v>
      </c>
      <c r="E109" s="50" t="s">
        <v>28</v>
      </c>
      <c r="F109" s="36" t="s">
        <v>152</v>
      </c>
      <c r="G109" s="37" t="s">
        <v>150</v>
      </c>
      <c r="H109" s="35" t="s">
        <v>112</v>
      </c>
      <c r="I109" s="35" t="s">
        <v>112</v>
      </c>
      <c r="J109" s="38" t="n">
        <v>11</v>
      </c>
      <c r="K109" s="47" t="n">
        <v>1</v>
      </c>
      <c r="L109" s="47" t="n">
        <v>1</v>
      </c>
      <c r="M109" s="47" t="n">
        <v>0</v>
      </c>
      <c r="N109" s="47" t="n">
        <v>0</v>
      </c>
      <c r="O109" s="40" t="n">
        <v>0.5</v>
      </c>
      <c r="P109" s="41" t="n">
        <v>0.5</v>
      </c>
      <c r="Q109" s="42" t="n">
        <v>12</v>
      </c>
      <c r="R109" s="42" t="n">
        <v>3</v>
      </c>
      <c r="S109" s="42" t="n">
        <v>15</v>
      </c>
      <c r="T109" s="42" t="n">
        <v>5</v>
      </c>
      <c r="U109" s="43" t="n">
        <v>1</v>
      </c>
      <c r="V109" s="43" t="n">
        <v>1</v>
      </c>
      <c r="W109" s="44" t="n">
        <v>0</v>
      </c>
      <c r="X109" s="44" t="n">
        <v>0</v>
      </c>
      <c r="Y109" s="43" t="n">
        <v>0</v>
      </c>
      <c r="Z109" s="43" t="n">
        <v>0</v>
      </c>
      <c r="AA109" s="44" t="n">
        <v>0</v>
      </c>
      <c r="AB109" s="44" t="n">
        <v>0</v>
      </c>
      <c r="AC109" s="43" t="n">
        <v>0</v>
      </c>
      <c r="AD109" s="43" t="n">
        <v>0</v>
      </c>
      <c r="AE109" s="44" t="n">
        <v>0</v>
      </c>
      <c r="AF109" s="44" t="n">
        <v>0</v>
      </c>
      <c r="AG109" s="43" t="n">
        <v>3</v>
      </c>
      <c r="AH109" s="43" t="n">
        <v>3</v>
      </c>
      <c r="AI109" s="43" t="n">
        <v>0</v>
      </c>
      <c r="AJ109" s="44"/>
      <c r="AK109" s="43" t="n">
        <v>1</v>
      </c>
      <c r="AL109" s="43" t="n">
        <v>5</v>
      </c>
      <c r="AM109" s="45" t="n">
        <v>0.7</v>
      </c>
      <c r="AN109" s="45" t="n">
        <v>0.3</v>
      </c>
      <c r="AO109" s="45" t="n">
        <v>0.5</v>
      </c>
      <c r="AP109" s="46" t="n">
        <v>1200</v>
      </c>
      <c r="AQ109" s="46" t="n">
        <v>600</v>
      </c>
    </row>
    <row r="110" customFormat="false" ht="14.25" hidden="false" customHeight="false" outlineLevel="0" collapsed="false">
      <c r="A110" s="49" t="s">
        <v>260</v>
      </c>
      <c r="B110" s="33" t="n">
        <v>46146</v>
      </c>
      <c r="C110" s="34" t="s">
        <v>126</v>
      </c>
      <c r="D110" s="35" t="s">
        <v>186</v>
      </c>
      <c r="E110" s="50" t="s">
        <v>26</v>
      </c>
      <c r="F110" s="36" t="s">
        <v>200</v>
      </c>
      <c r="G110" s="37" t="s">
        <v>188</v>
      </c>
      <c r="H110" s="35" t="s">
        <v>112</v>
      </c>
      <c r="I110" s="35" t="s">
        <v>112</v>
      </c>
      <c r="J110" s="38" t="n">
        <v>22</v>
      </c>
      <c r="K110" s="47" t="n">
        <v>1</v>
      </c>
      <c r="L110" s="47" t="n">
        <v>1</v>
      </c>
      <c r="M110" s="47" t="n">
        <v>1</v>
      </c>
      <c r="N110" s="47" t="n">
        <v>1</v>
      </c>
      <c r="O110" s="40" t="n">
        <v>1</v>
      </c>
      <c r="P110" s="41" t="n">
        <v>1</v>
      </c>
      <c r="Q110" s="42" t="n">
        <v>6</v>
      </c>
      <c r="R110" s="42" t="n">
        <v>2</v>
      </c>
      <c r="S110" s="42" t="n">
        <v>8</v>
      </c>
      <c r="T110" s="42" t="n">
        <v>3</v>
      </c>
      <c r="U110" s="43" t="n">
        <v>0</v>
      </c>
      <c r="V110" s="43" t="n">
        <v>0</v>
      </c>
      <c r="W110" s="44" t="n">
        <v>0</v>
      </c>
      <c r="X110" s="44" t="n">
        <v>0</v>
      </c>
      <c r="Y110" s="43" t="n">
        <v>0</v>
      </c>
      <c r="Z110" s="43" t="n">
        <v>0</v>
      </c>
      <c r="AA110" s="44" t="n">
        <v>0</v>
      </c>
      <c r="AB110" s="44" t="n">
        <v>0</v>
      </c>
      <c r="AC110" s="43" t="n">
        <v>0</v>
      </c>
      <c r="AD110" s="43" t="n">
        <v>0</v>
      </c>
      <c r="AE110" s="44" t="n">
        <v>0</v>
      </c>
      <c r="AF110" s="44" t="n">
        <v>0</v>
      </c>
      <c r="AG110" s="43" t="n">
        <v>1</v>
      </c>
      <c r="AH110" s="43" t="n">
        <v>1</v>
      </c>
      <c r="AI110" s="43" t="n">
        <v>0</v>
      </c>
      <c r="AJ110" s="44"/>
      <c r="AK110" s="43" t="n">
        <v>0</v>
      </c>
      <c r="AL110" s="43" t="n">
        <v>1</v>
      </c>
      <c r="AM110" s="45" t="n">
        <v>0.7</v>
      </c>
      <c r="AN110" s="45" t="n">
        <v>0.3</v>
      </c>
      <c r="AO110" s="45" t="n">
        <v>1</v>
      </c>
      <c r="AP110" s="46" t="n">
        <v>1200</v>
      </c>
      <c r="AQ110" s="46" t="n">
        <v>1200</v>
      </c>
    </row>
    <row r="111" customFormat="false" ht="14.25" hidden="false" customHeight="false" outlineLevel="0" collapsed="false">
      <c r="A111" s="49" t="s">
        <v>261</v>
      </c>
      <c r="B111" s="33" t="n">
        <v>46054</v>
      </c>
      <c r="C111" s="34" t="s">
        <v>134</v>
      </c>
      <c r="D111" s="35" t="s">
        <v>186</v>
      </c>
      <c r="E111" s="50" t="s">
        <v>26</v>
      </c>
      <c r="F111" s="36" t="s">
        <v>200</v>
      </c>
      <c r="G111" s="37" t="s">
        <v>188</v>
      </c>
      <c r="H111" s="35" t="s">
        <v>112</v>
      </c>
      <c r="I111" s="35" t="s">
        <v>112</v>
      </c>
      <c r="J111" s="38" t="n">
        <v>22</v>
      </c>
      <c r="K111" s="47" t="n">
        <v>1</v>
      </c>
      <c r="L111" s="47" t="n">
        <v>1</v>
      </c>
      <c r="M111" s="47" t="n">
        <v>1</v>
      </c>
      <c r="N111" s="47" t="n">
        <v>1</v>
      </c>
      <c r="O111" s="40" t="n">
        <v>1</v>
      </c>
      <c r="P111" s="41" t="n">
        <v>1</v>
      </c>
      <c r="Q111" s="42" t="n">
        <v>6</v>
      </c>
      <c r="R111" s="42" t="n">
        <v>2</v>
      </c>
      <c r="S111" s="42" t="n">
        <v>8</v>
      </c>
      <c r="T111" s="42" t="n">
        <v>3</v>
      </c>
      <c r="U111" s="43" t="n">
        <v>0</v>
      </c>
      <c r="V111" s="43" t="n">
        <v>0</v>
      </c>
      <c r="W111" s="44" t="n">
        <v>0</v>
      </c>
      <c r="X111" s="44" t="n">
        <v>0</v>
      </c>
      <c r="Y111" s="43" t="n">
        <v>0</v>
      </c>
      <c r="Z111" s="43" t="n">
        <v>0</v>
      </c>
      <c r="AA111" s="44" t="n">
        <v>0</v>
      </c>
      <c r="AB111" s="44" t="n">
        <v>0</v>
      </c>
      <c r="AC111" s="43" t="n">
        <v>0</v>
      </c>
      <c r="AD111" s="43" t="n">
        <v>0</v>
      </c>
      <c r="AE111" s="44" t="n">
        <v>0</v>
      </c>
      <c r="AF111" s="44" t="n">
        <v>0</v>
      </c>
      <c r="AG111" s="43" t="n">
        <v>0</v>
      </c>
      <c r="AH111" s="43" t="n">
        <v>0</v>
      </c>
      <c r="AI111" s="43" t="n">
        <v>0</v>
      </c>
      <c r="AJ111" s="44"/>
      <c r="AK111" s="43" t="n">
        <v>0</v>
      </c>
      <c r="AL111" s="43" t="n">
        <v>0</v>
      </c>
      <c r="AM111" s="45" t="n">
        <v>0.7</v>
      </c>
      <c r="AN111" s="45" t="n">
        <v>0.3</v>
      </c>
      <c r="AO111" s="45" t="n">
        <v>1</v>
      </c>
      <c r="AP111" s="46" t="n">
        <v>1200</v>
      </c>
      <c r="AQ111" s="46" t="n">
        <v>1200</v>
      </c>
    </row>
    <row r="112" customFormat="false" ht="14.25" hidden="false" customHeight="false" outlineLevel="0" collapsed="false">
      <c r="A112" s="49" t="s">
        <v>262</v>
      </c>
      <c r="B112" s="33" t="n">
        <v>46062</v>
      </c>
      <c r="C112" s="34" t="s">
        <v>134</v>
      </c>
      <c r="D112" s="35" t="s">
        <v>186</v>
      </c>
      <c r="E112" s="50" t="s">
        <v>26</v>
      </c>
      <c r="F112" s="36" t="s">
        <v>200</v>
      </c>
      <c r="G112" s="37" t="s">
        <v>188</v>
      </c>
      <c r="H112" s="35" t="s">
        <v>112</v>
      </c>
      <c r="I112" s="35" t="s">
        <v>112</v>
      </c>
      <c r="J112" s="38" t="n">
        <v>22</v>
      </c>
      <c r="K112" s="47" t="n">
        <v>1</v>
      </c>
      <c r="L112" s="47" t="n">
        <v>1</v>
      </c>
      <c r="M112" s="47" t="n">
        <v>1</v>
      </c>
      <c r="N112" s="47" t="n">
        <v>1</v>
      </c>
      <c r="O112" s="40" t="n">
        <v>1</v>
      </c>
      <c r="P112" s="41" t="n">
        <v>1</v>
      </c>
      <c r="Q112" s="42" t="n">
        <v>6</v>
      </c>
      <c r="R112" s="42" t="n">
        <v>2</v>
      </c>
      <c r="S112" s="42" t="n">
        <v>8</v>
      </c>
      <c r="T112" s="42" t="n">
        <v>3</v>
      </c>
      <c r="U112" s="43" t="n">
        <v>0</v>
      </c>
      <c r="V112" s="43" t="n">
        <v>0</v>
      </c>
      <c r="W112" s="44" t="n">
        <v>0</v>
      </c>
      <c r="X112" s="44" t="n">
        <v>0</v>
      </c>
      <c r="Y112" s="43" t="n">
        <v>0</v>
      </c>
      <c r="Z112" s="43" t="n">
        <v>0</v>
      </c>
      <c r="AA112" s="44" t="n">
        <v>0</v>
      </c>
      <c r="AB112" s="44" t="n">
        <v>0</v>
      </c>
      <c r="AC112" s="43" t="n">
        <v>0</v>
      </c>
      <c r="AD112" s="43" t="n">
        <v>0</v>
      </c>
      <c r="AE112" s="44" t="n">
        <v>0</v>
      </c>
      <c r="AF112" s="44" t="n">
        <v>0</v>
      </c>
      <c r="AG112" s="43" t="n">
        <v>0</v>
      </c>
      <c r="AH112" s="43" t="n">
        <v>0</v>
      </c>
      <c r="AI112" s="43" t="n">
        <v>0</v>
      </c>
      <c r="AJ112" s="44"/>
      <c r="AK112" s="43" t="n">
        <v>0</v>
      </c>
      <c r="AL112" s="43" t="n">
        <v>0</v>
      </c>
      <c r="AM112" s="45" t="n">
        <v>0.7</v>
      </c>
      <c r="AN112" s="45" t="n">
        <v>0.3</v>
      </c>
      <c r="AO112" s="45" t="n">
        <v>1</v>
      </c>
      <c r="AP112" s="46" t="n">
        <v>1200</v>
      </c>
      <c r="AQ112" s="46" t="n">
        <v>1200</v>
      </c>
    </row>
    <row r="113" customFormat="false" ht="14.25" hidden="false" customHeight="false" outlineLevel="0" collapsed="false">
      <c r="A113" s="49" t="s">
        <v>263</v>
      </c>
      <c r="B113" s="33" t="n">
        <v>46062</v>
      </c>
      <c r="C113" s="34" t="s">
        <v>134</v>
      </c>
      <c r="D113" s="35" t="s">
        <v>186</v>
      </c>
      <c r="E113" s="50" t="s">
        <v>26</v>
      </c>
      <c r="F113" s="36" t="s">
        <v>200</v>
      </c>
      <c r="G113" s="37" t="s">
        <v>188</v>
      </c>
      <c r="H113" s="35" t="s">
        <v>112</v>
      </c>
      <c r="I113" s="35" t="s">
        <v>112</v>
      </c>
      <c r="J113" s="38" t="n">
        <v>22</v>
      </c>
      <c r="K113" s="47" t="n">
        <v>1</v>
      </c>
      <c r="L113" s="47" t="n">
        <v>1</v>
      </c>
      <c r="M113" s="47" t="n">
        <v>1</v>
      </c>
      <c r="N113" s="47" t="n">
        <v>1</v>
      </c>
      <c r="O113" s="40" t="n">
        <v>1</v>
      </c>
      <c r="P113" s="41" t="n">
        <v>1</v>
      </c>
      <c r="Q113" s="42" t="n">
        <v>6</v>
      </c>
      <c r="R113" s="42" t="n">
        <v>2</v>
      </c>
      <c r="S113" s="42" t="n">
        <v>8</v>
      </c>
      <c r="T113" s="42" t="n">
        <v>3</v>
      </c>
      <c r="U113" s="43" t="n">
        <v>0</v>
      </c>
      <c r="V113" s="43" t="n">
        <v>0</v>
      </c>
      <c r="W113" s="44" t="n">
        <v>0</v>
      </c>
      <c r="X113" s="44" t="n">
        <v>0</v>
      </c>
      <c r="Y113" s="43" t="n">
        <v>0</v>
      </c>
      <c r="Z113" s="43" t="n">
        <v>0</v>
      </c>
      <c r="AA113" s="44" t="n">
        <v>0</v>
      </c>
      <c r="AB113" s="44" t="n">
        <v>0</v>
      </c>
      <c r="AC113" s="43" t="n">
        <v>0</v>
      </c>
      <c r="AD113" s="43" t="n">
        <v>0</v>
      </c>
      <c r="AE113" s="44" t="n">
        <v>0</v>
      </c>
      <c r="AF113" s="44" t="n">
        <v>0</v>
      </c>
      <c r="AG113" s="43" t="n">
        <v>2</v>
      </c>
      <c r="AH113" s="43" t="n">
        <v>0</v>
      </c>
      <c r="AI113" s="43" t="n">
        <v>0</v>
      </c>
      <c r="AJ113" s="44"/>
      <c r="AK113" s="43" t="n">
        <v>0</v>
      </c>
      <c r="AL113" s="43" t="n">
        <v>1</v>
      </c>
      <c r="AM113" s="45" t="n">
        <v>0.7</v>
      </c>
      <c r="AN113" s="45" t="n">
        <v>0.3</v>
      </c>
      <c r="AO113" s="45" t="n">
        <v>1</v>
      </c>
      <c r="AP113" s="46" t="n">
        <v>1200</v>
      </c>
      <c r="AQ113" s="46" t="n">
        <v>1200</v>
      </c>
    </row>
    <row r="114" customFormat="false" ht="14.25" hidden="false" customHeight="false" outlineLevel="0" collapsed="false">
      <c r="A114" s="49" t="s">
        <v>264</v>
      </c>
      <c r="B114" s="33" t="n">
        <v>46113</v>
      </c>
      <c r="C114" s="34" t="s">
        <v>140</v>
      </c>
      <c r="D114" s="35" t="s">
        <v>186</v>
      </c>
      <c r="E114" s="50" t="s">
        <v>26</v>
      </c>
      <c r="F114" s="36" t="s">
        <v>200</v>
      </c>
      <c r="G114" s="37" t="s">
        <v>188</v>
      </c>
      <c r="H114" s="35" t="s">
        <v>112</v>
      </c>
      <c r="I114" s="35" t="s">
        <v>112</v>
      </c>
      <c r="J114" s="38" t="n">
        <v>22</v>
      </c>
      <c r="K114" s="47" t="n">
        <v>1</v>
      </c>
      <c r="L114" s="47" t="n">
        <v>1</v>
      </c>
      <c r="M114" s="47" t="n">
        <v>1</v>
      </c>
      <c r="N114" s="47" t="n">
        <v>1</v>
      </c>
      <c r="O114" s="40" t="n">
        <v>1</v>
      </c>
      <c r="P114" s="41" t="n">
        <v>1</v>
      </c>
      <c r="Q114" s="42" t="n">
        <v>6</v>
      </c>
      <c r="R114" s="42" t="n">
        <v>2</v>
      </c>
      <c r="S114" s="42" t="n">
        <v>8</v>
      </c>
      <c r="T114" s="42" t="n">
        <v>3</v>
      </c>
      <c r="U114" s="43" t="n">
        <v>0</v>
      </c>
      <c r="V114" s="43" t="n">
        <v>0</v>
      </c>
      <c r="W114" s="44" t="n">
        <v>0</v>
      </c>
      <c r="X114" s="44" t="n">
        <v>0</v>
      </c>
      <c r="Y114" s="43" t="n">
        <v>0</v>
      </c>
      <c r="Z114" s="43" t="n">
        <v>0</v>
      </c>
      <c r="AA114" s="44" t="n">
        <v>0</v>
      </c>
      <c r="AB114" s="44" t="n">
        <v>0</v>
      </c>
      <c r="AC114" s="43" t="n">
        <v>0</v>
      </c>
      <c r="AD114" s="43" t="n">
        <v>0</v>
      </c>
      <c r="AE114" s="44" t="n">
        <v>0</v>
      </c>
      <c r="AF114" s="44" t="n">
        <v>0</v>
      </c>
      <c r="AG114" s="43" t="n">
        <v>1</v>
      </c>
      <c r="AH114" s="43" t="n">
        <v>1</v>
      </c>
      <c r="AI114" s="43" t="n">
        <v>0</v>
      </c>
      <c r="AJ114" s="44"/>
      <c r="AK114" s="43" t="n">
        <v>0</v>
      </c>
      <c r="AL114" s="43" t="n">
        <v>1</v>
      </c>
      <c r="AM114" s="45" t="n">
        <v>0.7</v>
      </c>
      <c r="AN114" s="45" t="n">
        <v>0.3</v>
      </c>
      <c r="AO114" s="45" t="n">
        <v>1</v>
      </c>
      <c r="AP114" s="46" t="n">
        <v>1200</v>
      </c>
      <c r="AQ114" s="46" t="n">
        <v>1200</v>
      </c>
    </row>
    <row r="115" customFormat="false" ht="14.25" hidden="false" customHeight="false" outlineLevel="0" collapsed="false">
      <c r="A115" s="33" t="s">
        <v>265</v>
      </c>
      <c r="B115" s="33" t="n">
        <v>46146</v>
      </c>
      <c r="C115" s="34" t="s">
        <v>126</v>
      </c>
      <c r="D115" s="35" t="s">
        <v>186</v>
      </c>
      <c r="E115" s="35" t="s">
        <v>26</v>
      </c>
      <c r="F115" s="36" t="s">
        <v>200</v>
      </c>
      <c r="G115" s="37" t="s">
        <v>188</v>
      </c>
      <c r="H115" s="35" t="s">
        <v>112</v>
      </c>
      <c r="I115" s="35" t="s">
        <v>112</v>
      </c>
      <c r="J115" s="38" t="n">
        <v>22</v>
      </c>
      <c r="K115" s="47" t="n">
        <v>1</v>
      </c>
      <c r="L115" s="47" t="n">
        <v>1</v>
      </c>
      <c r="M115" s="47" t="n">
        <v>1</v>
      </c>
      <c r="N115" s="47" t="n">
        <v>1</v>
      </c>
      <c r="O115" s="40" t="n">
        <v>1</v>
      </c>
      <c r="P115" s="41" t="n">
        <v>1</v>
      </c>
      <c r="Q115" s="42" t="n">
        <v>6</v>
      </c>
      <c r="R115" s="42" t="n">
        <v>2</v>
      </c>
      <c r="S115" s="42" t="n">
        <v>8</v>
      </c>
      <c r="T115" s="42" t="n">
        <v>6</v>
      </c>
      <c r="U115" s="43" t="n">
        <v>1</v>
      </c>
      <c r="V115" s="43" t="n">
        <v>1</v>
      </c>
      <c r="W115" s="44" t="n">
        <v>1</v>
      </c>
      <c r="X115" s="44" t="n">
        <v>1</v>
      </c>
      <c r="Y115" s="43" t="n">
        <v>0</v>
      </c>
      <c r="Z115" s="43" t="n">
        <v>0</v>
      </c>
      <c r="AA115" s="44" t="n">
        <v>0</v>
      </c>
      <c r="AB115" s="44" t="n">
        <v>0</v>
      </c>
      <c r="AC115" s="43" t="n">
        <v>0</v>
      </c>
      <c r="AD115" s="43" t="n">
        <v>0</v>
      </c>
      <c r="AE115" s="44" t="n">
        <v>0</v>
      </c>
      <c r="AF115" s="44" t="n">
        <v>0</v>
      </c>
      <c r="AG115" s="43" t="n">
        <v>1</v>
      </c>
      <c r="AH115" s="43" t="n">
        <v>0</v>
      </c>
      <c r="AI115" s="43" t="n">
        <v>0</v>
      </c>
      <c r="AJ115" s="44"/>
      <c r="AK115" s="43" t="n">
        <v>0</v>
      </c>
      <c r="AL115" s="43" t="n">
        <v>4</v>
      </c>
      <c r="AM115" s="45" t="n">
        <v>0.7</v>
      </c>
      <c r="AN115" s="45" t="n">
        <v>0.3</v>
      </c>
      <c r="AO115" s="45" t="n">
        <v>1</v>
      </c>
      <c r="AP115" s="46" t="n">
        <v>1200</v>
      </c>
      <c r="AQ115" s="46" t="n">
        <v>1200</v>
      </c>
    </row>
    <row r="116" customFormat="false" ht="14.25" hidden="false" customHeight="false" outlineLevel="0" collapsed="false">
      <c r="A116" s="33" t="s">
        <v>266</v>
      </c>
      <c r="B116" s="33" t="n">
        <v>46146</v>
      </c>
      <c r="C116" s="34" t="s">
        <v>126</v>
      </c>
      <c r="D116" s="35" t="s">
        <v>186</v>
      </c>
      <c r="E116" s="35" t="s">
        <v>26</v>
      </c>
      <c r="F116" s="36" t="s">
        <v>200</v>
      </c>
      <c r="G116" s="37" t="s">
        <v>188</v>
      </c>
      <c r="H116" s="35" t="s">
        <v>112</v>
      </c>
      <c r="I116" s="35" t="s">
        <v>112</v>
      </c>
      <c r="J116" s="38" t="n">
        <v>22</v>
      </c>
      <c r="K116" s="47" t="n">
        <v>1</v>
      </c>
      <c r="L116" s="47" t="n">
        <v>1</v>
      </c>
      <c r="M116" s="47" t="n">
        <v>1</v>
      </c>
      <c r="N116" s="47" t="n">
        <v>1</v>
      </c>
      <c r="O116" s="40" t="n">
        <v>1</v>
      </c>
      <c r="P116" s="41" t="n">
        <v>1</v>
      </c>
      <c r="Q116" s="42" t="n">
        <v>6</v>
      </c>
      <c r="R116" s="42" t="n">
        <v>2</v>
      </c>
      <c r="S116" s="42" t="n">
        <v>8</v>
      </c>
      <c r="T116" s="42" t="n">
        <v>5</v>
      </c>
      <c r="U116" s="43" t="n">
        <v>1</v>
      </c>
      <c r="V116" s="43" t="n">
        <v>1</v>
      </c>
      <c r="W116" s="44" t="n">
        <v>1</v>
      </c>
      <c r="X116" s="44" t="n">
        <v>1</v>
      </c>
      <c r="Y116" s="43" t="n">
        <v>0</v>
      </c>
      <c r="Z116" s="43" t="n">
        <v>0</v>
      </c>
      <c r="AA116" s="44" t="n">
        <v>0</v>
      </c>
      <c r="AB116" s="44" t="n">
        <v>0</v>
      </c>
      <c r="AC116" s="43" t="n">
        <v>0</v>
      </c>
      <c r="AD116" s="43" t="n">
        <v>0</v>
      </c>
      <c r="AE116" s="44" t="n">
        <v>0</v>
      </c>
      <c r="AF116" s="44" t="n">
        <v>0</v>
      </c>
      <c r="AG116" s="43" t="n">
        <v>0</v>
      </c>
      <c r="AH116" s="43" t="n">
        <v>0</v>
      </c>
      <c r="AI116" s="43" t="n">
        <v>0</v>
      </c>
      <c r="AJ116" s="44"/>
      <c r="AK116" s="43" t="n">
        <v>0</v>
      </c>
      <c r="AL116" s="43" t="n">
        <v>4</v>
      </c>
      <c r="AM116" s="45" t="n">
        <v>0.7</v>
      </c>
      <c r="AN116" s="45" t="n">
        <v>0.3</v>
      </c>
      <c r="AO116" s="45" t="n">
        <v>1</v>
      </c>
      <c r="AP116" s="46" t="n">
        <v>1200</v>
      </c>
      <c r="AQ116" s="46" t="n">
        <v>1200</v>
      </c>
    </row>
    <row r="117" customFormat="false" ht="14.25" hidden="false" customHeight="false" outlineLevel="0" collapsed="false">
      <c r="A117" s="33" t="s">
        <v>267</v>
      </c>
      <c r="B117" s="33" t="n">
        <v>45852</v>
      </c>
      <c r="C117" s="34" t="s">
        <v>108</v>
      </c>
      <c r="D117" s="35" t="s">
        <v>148</v>
      </c>
      <c r="E117" s="35" t="s">
        <v>24</v>
      </c>
      <c r="F117" s="36" t="s">
        <v>244</v>
      </c>
      <c r="G117" s="37" t="s">
        <v>162</v>
      </c>
      <c r="H117" s="35" t="s">
        <v>112</v>
      </c>
      <c r="I117" s="35" t="s">
        <v>112</v>
      </c>
      <c r="J117" s="38" t="n">
        <v>22</v>
      </c>
      <c r="K117" s="47" t="n">
        <v>1</v>
      </c>
      <c r="L117" s="47" t="n">
        <v>1</v>
      </c>
      <c r="M117" s="47" t="n">
        <v>1</v>
      </c>
      <c r="N117" s="47" t="n">
        <v>1</v>
      </c>
      <c r="O117" s="40" t="n">
        <v>1</v>
      </c>
      <c r="P117" s="41" t="n">
        <v>1</v>
      </c>
      <c r="Q117" s="42" t="n">
        <v>12</v>
      </c>
      <c r="R117" s="42" t="n">
        <v>4</v>
      </c>
      <c r="S117" s="42" t="n">
        <v>16</v>
      </c>
      <c r="T117" s="42" t="n">
        <v>4</v>
      </c>
      <c r="U117" s="43" t="n">
        <v>1</v>
      </c>
      <c r="V117" s="43" t="n">
        <v>1</v>
      </c>
      <c r="W117" s="44" t="n">
        <v>1</v>
      </c>
      <c r="X117" s="44" t="n">
        <v>1</v>
      </c>
      <c r="Y117" s="43" t="n">
        <v>0</v>
      </c>
      <c r="Z117" s="43" t="n">
        <v>0</v>
      </c>
      <c r="AA117" s="44" t="n">
        <v>0</v>
      </c>
      <c r="AB117" s="44" t="n">
        <v>0</v>
      </c>
      <c r="AC117" s="43" t="n">
        <v>0</v>
      </c>
      <c r="AD117" s="43" t="n">
        <v>0</v>
      </c>
      <c r="AE117" s="44" t="n">
        <v>0</v>
      </c>
      <c r="AF117" s="44" t="n">
        <v>0</v>
      </c>
      <c r="AG117" s="43" t="n">
        <v>4</v>
      </c>
      <c r="AH117" s="43" t="n">
        <v>1</v>
      </c>
      <c r="AI117" s="43" t="n">
        <v>0</v>
      </c>
      <c r="AJ117" s="44"/>
      <c r="AK117" s="43" t="n">
        <v>0</v>
      </c>
      <c r="AL117" s="43" t="n">
        <v>6</v>
      </c>
      <c r="AM117" s="45" t="n">
        <v>0.7</v>
      </c>
      <c r="AN117" s="45" t="n">
        <v>0.3</v>
      </c>
      <c r="AO117" s="45" t="n">
        <v>1</v>
      </c>
      <c r="AP117" s="46" t="n">
        <v>1200</v>
      </c>
      <c r="AQ117" s="46" t="n">
        <v>1200</v>
      </c>
    </row>
    <row r="118" customFormat="false" ht="14.25" hidden="false" customHeight="false" outlineLevel="0" collapsed="false">
      <c r="A118" s="33" t="s">
        <v>268</v>
      </c>
      <c r="B118" s="33" t="n">
        <v>44900</v>
      </c>
      <c r="C118" s="34" t="s">
        <v>108</v>
      </c>
      <c r="D118" s="35" t="s">
        <v>148</v>
      </c>
      <c r="E118" s="35" t="s">
        <v>24</v>
      </c>
      <c r="F118" s="36" t="s">
        <v>244</v>
      </c>
      <c r="G118" s="37" t="s">
        <v>162</v>
      </c>
      <c r="H118" s="35" t="s">
        <v>112</v>
      </c>
      <c r="I118" s="35" t="s">
        <v>112</v>
      </c>
      <c r="J118" s="38" t="n">
        <v>22</v>
      </c>
      <c r="K118" s="47" t="n">
        <v>1</v>
      </c>
      <c r="L118" s="47" t="n">
        <v>1</v>
      </c>
      <c r="M118" s="47" t="n">
        <v>1</v>
      </c>
      <c r="N118" s="47" t="n">
        <v>1</v>
      </c>
      <c r="O118" s="40" t="n">
        <v>1</v>
      </c>
      <c r="P118" s="41" t="n">
        <v>1</v>
      </c>
      <c r="Q118" s="42" t="n">
        <v>12</v>
      </c>
      <c r="R118" s="42" t="n">
        <v>4</v>
      </c>
      <c r="S118" s="42" t="n">
        <v>16</v>
      </c>
      <c r="T118" s="42" t="n">
        <v>5</v>
      </c>
      <c r="U118" s="43" t="n">
        <v>1</v>
      </c>
      <c r="V118" s="43" t="n">
        <v>1</v>
      </c>
      <c r="W118" s="44" t="n">
        <v>1</v>
      </c>
      <c r="X118" s="44" t="n">
        <v>1</v>
      </c>
      <c r="Y118" s="43" t="n">
        <v>1</v>
      </c>
      <c r="Z118" s="43" t="n">
        <v>0</v>
      </c>
      <c r="AA118" s="44" t="n">
        <v>1</v>
      </c>
      <c r="AB118" s="44" t="n">
        <v>1</v>
      </c>
      <c r="AC118" s="43" t="n">
        <v>1</v>
      </c>
      <c r="AD118" s="43" t="n">
        <v>0</v>
      </c>
      <c r="AE118" s="44" t="n">
        <v>1</v>
      </c>
      <c r="AF118" s="44" t="n">
        <v>1</v>
      </c>
      <c r="AG118" s="43" t="n">
        <v>2</v>
      </c>
      <c r="AH118" s="43" t="n">
        <v>1</v>
      </c>
      <c r="AI118" s="43" t="n">
        <v>1</v>
      </c>
      <c r="AJ118" s="44"/>
      <c r="AK118" s="43" t="n">
        <v>0</v>
      </c>
      <c r="AL118" s="43" t="n">
        <v>13</v>
      </c>
      <c r="AM118" s="45" t="n">
        <v>0.7</v>
      </c>
      <c r="AN118" s="45" t="n">
        <v>0.3</v>
      </c>
      <c r="AO118" s="45" t="n">
        <v>1</v>
      </c>
      <c r="AP118" s="46" t="n">
        <v>1200</v>
      </c>
      <c r="AQ118" s="46" t="n">
        <v>1200</v>
      </c>
    </row>
    <row r="119" customFormat="false" ht="14.25" hidden="false" customHeight="false" outlineLevel="0" collapsed="false">
      <c r="A119" s="33" t="s">
        <v>269</v>
      </c>
      <c r="B119" s="33" t="n">
        <v>45323</v>
      </c>
      <c r="C119" s="34" t="s">
        <v>108</v>
      </c>
      <c r="D119" s="35" t="s">
        <v>148</v>
      </c>
      <c r="E119" s="35" t="s">
        <v>24</v>
      </c>
      <c r="F119" s="36" t="s">
        <v>244</v>
      </c>
      <c r="G119" s="37" t="s">
        <v>162</v>
      </c>
      <c r="H119" s="35" t="s">
        <v>112</v>
      </c>
      <c r="I119" s="35" t="s">
        <v>112</v>
      </c>
      <c r="J119" s="38" t="n">
        <v>22</v>
      </c>
      <c r="K119" s="47" t="n">
        <v>1</v>
      </c>
      <c r="L119" s="47" t="n">
        <v>1</v>
      </c>
      <c r="M119" s="47" t="n">
        <v>1</v>
      </c>
      <c r="N119" s="47" t="n">
        <v>1</v>
      </c>
      <c r="O119" s="40" t="n">
        <v>1</v>
      </c>
      <c r="P119" s="41" t="n">
        <v>1</v>
      </c>
      <c r="Q119" s="42" t="n">
        <v>12</v>
      </c>
      <c r="R119" s="42" t="n">
        <v>4</v>
      </c>
      <c r="S119" s="42" t="n">
        <v>16</v>
      </c>
      <c r="T119" s="42" t="n">
        <v>5</v>
      </c>
      <c r="U119" s="43" t="n">
        <v>0</v>
      </c>
      <c r="V119" s="43" t="n">
        <v>0</v>
      </c>
      <c r="W119" s="44" t="n">
        <v>0</v>
      </c>
      <c r="X119" s="44" t="n">
        <v>0</v>
      </c>
      <c r="Y119" s="43" t="n">
        <v>0</v>
      </c>
      <c r="Z119" s="43" t="n">
        <v>0</v>
      </c>
      <c r="AA119" s="44" t="n">
        <v>0</v>
      </c>
      <c r="AB119" s="44" t="n">
        <v>0</v>
      </c>
      <c r="AC119" s="43" t="n">
        <v>0</v>
      </c>
      <c r="AD119" s="43" t="n">
        <v>0</v>
      </c>
      <c r="AE119" s="44" t="n">
        <v>0</v>
      </c>
      <c r="AF119" s="44" t="n">
        <v>0</v>
      </c>
      <c r="AG119" s="43" t="n">
        <v>1</v>
      </c>
      <c r="AH119" s="43" t="n">
        <v>3</v>
      </c>
      <c r="AI119" s="43" t="n">
        <v>1</v>
      </c>
      <c r="AJ119" s="44"/>
      <c r="AK119" s="43" t="n">
        <v>9</v>
      </c>
      <c r="AL119" s="43" t="n">
        <v>12</v>
      </c>
      <c r="AM119" s="45" t="n">
        <v>0.7</v>
      </c>
      <c r="AN119" s="45" t="n">
        <v>0.3</v>
      </c>
      <c r="AO119" s="45" t="n">
        <v>1</v>
      </c>
      <c r="AP119" s="46" t="n">
        <v>1200</v>
      </c>
      <c r="AQ119" s="46" t="n">
        <v>1200</v>
      </c>
    </row>
    <row r="120" customFormat="false" ht="14.25" hidden="false" customHeight="false" outlineLevel="0" collapsed="false">
      <c r="A120" s="33" t="s">
        <v>270</v>
      </c>
      <c r="B120" s="33" t="n">
        <v>45182</v>
      </c>
      <c r="C120" s="34" t="s">
        <v>108</v>
      </c>
      <c r="D120" s="35" t="s">
        <v>148</v>
      </c>
      <c r="E120" s="35" t="s">
        <v>24</v>
      </c>
      <c r="F120" s="36" t="s">
        <v>240</v>
      </c>
      <c r="G120" s="37" t="s">
        <v>162</v>
      </c>
      <c r="H120" s="35" t="s">
        <v>112</v>
      </c>
      <c r="I120" s="35" t="s">
        <v>112</v>
      </c>
      <c r="J120" s="38" t="n">
        <v>22</v>
      </c>
      <c r="K120" s="47" t="n">
        <v>1</v>
      </c>
      <c r="L120" s="47" t="n">
        <v>1</v>
      </c>
      <c r="M120" s="47" t="n">
        <v>1</v>
      </c>
      <c r="N120" s="47" t="n">
        <v>1</v>
      </c>
      <c r="O120" s="40" t="n">
        <v>1</v>
      </c>
      <c r="P120" s="41" t="n">
        <v>1</v>
      </c>
      <c r="Q120" s="42" t="n">
        <v>12</v>
      </c>
      <c r="R120" s="42" t="n">
        <v>4</v>
      </c>
      <c r="S120" s="42" t="n">
        <v>16</v>
      </c>
      <c r="T120" s="42" t="n">
        <v>6</v>
      </c>
      <c r="U120" s="43" t="n">
        <v>0</v>
      </c>
      <c r="V120" s="43" t="n">
        <v>0</v>
      </c>
      <c r="W120" s="44" t="n">
        <v>0</v>
      </c>
      <c r="X120" s="44" t="n">
        <v>0</v>
      </c>
      <c r="Y120" s="43" t="n">
        <v>1</v>
      </c>
      <c r="Z120" s="43" t="n">
        <v>0</v>
      </c>
      <c r="AA120" s="44" t="n">
        <v>1</v>
      </c>
      <c r="AB120" s="44" t="n">
        <v>1</v>
      </c>
      <c r="AC120" s="43" t="n">
        <v>0</v>
      </c>
      <c r="AD120" s="43" t="n">
        <v>3</v>
      </c>
      <c r="AE120" s="44" t="n">
        <v>2</v>
      </c>
      <c r="AF120" s="44" t="n">
        <v>4</v>
      </c>
      <c r="AG120" s="43" t="n">
        <v>3</v>
      </c>
      <c r="AH120" s="43" t="n">
        <v>1</v>
      </c>
      <c r="AI120" s="43" t="n">
        <v>1</v>
      </c>
      <c r="AJ120" s="44"/>
      <c r="AK120" s="43" t="n">
        <v>0</v>
      </c>
      <c r="AL120" s="43" t="n">
        <v>14</v>
      </c>
      <c r="AM120" s="45" t="n">
        <v>0.7</v>
      </c>
      <c r="AN120" s="45" t="n">
        <v>0.3</v>
      </c>
      <c r="AO120" s="45" t="n">
        <v>1</v>
      </c>
      <c r="AP120" s="46" t="n">
        <v>1200</v>
      </c>
      <c r="AQ120" s="46" t="n">
        <v>1200</v>
      </c>
    </row>
    <row r="121" customFormat="false" ht="14.25" hidden="false" customHeight="false" outlineLevel="0" collapsed="false">
      <c r="A121" s="33" t="s">
        <v>271</v>
      </c>
      <c r="B121" s="33" t="n">
        <v>44851</v>
      </c>
      <c r="C121" s="34" t="s">
        <v>108</v>
      </c>
      <c r="D121" s="35" t="s">
        <v>148</v>
      </c>
      <c r="E121" s="35" t="s">
        <v>24</v>
      </c>
      <c r="F121" s="36" t="s">
        <v>244</v>
      </c>
      <c r="G121" s="37" t="s">
        <v>162</v>
      </c>
      <c r="H121" s="35" t="s">
        <v>112</v>
      </c>
      <c r="I121" s="35" t="s">
        <v>112</v>
      </c>
      <c r="J121" s="38" t="n">
        <v>16.5</v>
      </c>
      <c r="K121" s="47" t="n">
        <v>1</v>
      </c>
      <c r="L121" s="47" t="n">
        <v>0</v>
      </c>
      <c r="M121" s="47" t="n">
        <v>1</v>
      </c>
      <c r="N121" s="47" t="n">
        <v>1</v>
      </c>
      <c r="O121" s="40" t="n">
        <v>0.75</v>
      </c>
      <c r="P121" s="41" t="n">
        <v>0.75</v>
      </c>
      <c r="Q121" s="42" t="n">
        <v>9</v>
      </c>
      <c r="R121" s="42" t="n">
        <v>3</v>
      </c>
      <c r="S121" s="42" t="n">
        <v>12</v>
      </c>
      <c r="T121" s="42" t="n">
        <v>4</v>
      </c>
      <c r="U121" s="43" t="n">
        <v>2</v>
      </c>
      <c r="V121" s="43" t="n">
        <v>2</v>
      </c>
      <c r="W121" s="44" t="n">
        <v>2</v>
      </c>
      <c r="X121" s="44" t="n">
        <v>3</v>
      </c>
      <c r="Y121" s="43" t="n">
        <v>1</v>
      </c>
      <c r="Z121" s="43" t="n">
        <v>0</v>
      </c>
      <c r="AA121" s="44" t="n">
        <v>1</v>
      </c>
      <c r="AB121" s="44" t="n">
        <v>1</v>
      </c>
      <c r="AC121" s="43" t="n">
        <v>0</v>
      </c>
      <c r="AD121" s="43" t="n">
        <v>0</v>
      </c>
      <c r="AE121" s="44" t="n">
        <v>0</v>
      </c>
      <c r="AF121" s="44" t="n">
        <v>0</v>
      </c>
      <c r="AG121" s="43" t="n">
        <v>1</v>
      </c>
      <c r="AH121" s="43" t="n">
        <v>3</v>
      </c>
      <c r="AI121" s="43" t="n">
        <v>0</v>
      </c>
      <c r="AJ121" s="44"/>
      <c r="AK121" s="43" t="n">
        <v>0</v>
      </c>
      <c r="AL121" s="43" t="n">
        <v>15</v>
      </c>
      <c r="AM121" s="45" t="n">
        <v>0.7</v>
      </c>
      <c r="AN121" s="45" t="n">
        <v>0.3</v>
      </c>
      <c r="AO121" s="45" t="n">
        <v>0.75</v>
      </c>
      <c r="AP121" s="46" t="n">
        <v>1200</v>
      </c>
      <c r="AQ121" s="46" t="n">
        <v>900</v>
      </c>
    </row>
    <row r="122" customFormat="false" ht="14.25" hidden="false" customHeight="false" outlineLevel="0" collapsed="false">
      <c r="A122" s="33" t="s">
        <v>272</v>
      </c>
      <c r="B122" s="33" t="n">
        <v>45383</v>
      </c>
      <c r="C122" s="34" t="s">
        <v>108</v>
      </c>
      <c r="D122" s="35" t="s">
        <v>148</v>
      </c>
      <c r="E122" s="35" t="s">
        <v>24</v>
      </c>
      <c r="F122" s="36" t="s">
        <v>244</v>
      </c>
      <c r="G122" s="37" t="s">
        <v>162</v>
      </c>
      <c r="H122" s="35" t="s">
        <v>112</v>
      </c>
      <c r="I122" s="35" t="s">
        <v>112</v>
      </c>
      <c r="J122" s="38" t="n">
        <v>22</v>
      </c>
      <c r="K122" s="47" t="n">
        <v>1</v>
      </c>
      <c r="L122" s="47" t="n">
        <v>1</v>
      </c>
      <c r="M122" s="47" t="n">
        <v>1</v>
      </c>
      <c r="N122" s="47" t="n">
        <v>1</v>
      </c>
      <c r="O122" s="40" t="n">
        <v>1</v>
      </c>
      <c r="P122" s="41" t="n">
        <v>1</v>
      </c>
      <c r="Q122" s="42" t="n">
        <v>12</v>
      </c>
      <c r="R122" s="42" t="n">
        <v>4</v>
      </c>
      <c r="S122" s="42" t="n">
        <v>16</v>
      </c>
      <c r="T122" s="42" t="n">
        <v>7</v>
      </c>
      <c r="U122" s="43" t="n">
        <v>3</v>
      </c>
      <c r="V122" s="43" t="n">
        <v>3</v>
      </c>
      <c r="W122" s="44" t="n">
        <v>4</v>
      </c>
      <c r="X122" s="44" t="n">
        <v>5</v>
      </c>
      <c r="Y122" s="43" t="n">
        <v>0</v>
      </c>
      <c r="Z122" s="43" t="n">
        <v>0</v>
      </c>
      <c r="AA122" s="44" t="n">
        <v>0</v>
      </c>
      <c r="AB122" s="44" t="n">
        <v>0</v>
      </c>
      <c r="AC122" s="43" t="n">
        <v>0</v>
      </c>
      <c r="AD122" s="43" t="n">
        <v>0</v>
      </c>
      <c r="AE122" s="44" t="n">
        <v>0</v>
      </c>
      <c r="AF122" s="44" t="n">
        <v>0</v>
      </c>
      <c r="AG122" s="43" t="n">
        <v>3</v>
      </c>
      <c r="AH122" s="43" t="n">
        <v>3</v>
      </c>
      <c r="AI122" s="43" t="n">
        <v>0</v>
      </c>
      <c r="AJ122" s="44"/>
      <c r="AK122" s="43" t="n">
        <v>1</v>
      </c>
      <c r="AL122" s="43" t="n">
        <v>22</v>
      </c>
      <c r="AM122" s="45" t="n">
        <v>0.7</v>
      </c>
      <c r="AN122" s="45" t="n">
        <v>0.3</v>
      </c>
      <c r="AO122" s="45" t="n">
        <v>1</v>
      </c>
      <c r="AP122" s="46" t="n">
        <v>1200</v>
      </c>
      <c r="AQ122" s="46" t="n">
        <v>1200</v>
      </c>
    </row>
    <row r="123" customFormat="false" ht="14.25" hidden="false" customHeight="false" outlineLevel="0" collapsed="false">
      <c r="A123" s="33" t="s">
        <v>273</v>
      </c>
      <c r="B123" s="33" t="n">
        <v>44900</v>
      </c>
      <c r="C123" s="34" t="s">
        <v>108</v>
      </c>
      <c r="D123" s="35" t="s">
        <v>148</v>
      </c>
      <c r="E123" s="35" t="s">
        <v>24</v>
      </c>
      <c r="F123" s="36" t="s">
        <v>244</v>
      </c>
      <c r="G123" s="37" t="s">
        <v>162</v>
      </c>
      <c r="H123" s="35" t="s">
        <v>112</v>
      </c>
      <c r="I123" s="35" t="s">
        <v>112</v>
      </c>
      <c r="J123" s="38" t="n">
        <v>22</v>
      </c>
      <c r="K123" s="47" t="n">
        <v>1</v>
      </c>
      <c r="L123" s="47" t="n">
        <v>1</v>
      </c>
      <c r="M123" s="47" t="n">
        <v>1</v>
      </c>
      <c r="N123" s="47" t="n">
        <v>1</v>
      </c>
      <c r="O123" s="40" t="n">
        <v>1</v>
      </c>
      <c r="P123" s="41" t="n">
        <v>1</v>
      </c>
      <c r="Q123" s="42" t="n">
        <v>12</v>
      </c>
      <c r="R123" s="42" t="n">
        <v>4</v>
      </c>
      <c r="S123" s="42" t="n">
        <v>16</v>
      </c>
      <c r="T123" s="42" t="n">
        <v>4</v>
      </c>
      <c r="U123" s="43" t="n">
        <v>1</v>
      </c>
      <c r="V123" s="43" t="n">
        <v>1</v>
      </c>
      <c r="W123" s="44" t="n">
        <v>1</v>
      </c>
      <c r="X123" s="44" t="n">
        <v>1</v>
      </c>
      <c r="Y123" s="43" t="n">
        <v>0</v>
      </c>
      <c r="Z123" s="43" t="n">
        <v>1</v>
      </c>
      <c r="AA123" s="44" t="n">
        <v>1</v>
      </c>
      <c r="AB123" s="44" t="n">
        <v>1</v>
      </c>
      <c r="AC123" s="43" t="n">
        <v>1</v>
      </c>
      <c r="AD123" s="43" t="n">
        <v>0</v>
      </c>
      <c r="AE123" s="44" t="n">
        <v>1</v>
      </c>
      <c r="AF123" s="44" t="n">
        <v>1</v>
      </c>
      <c r="AG123" s="43" t="n">
        <v>2</v>
      </c>
      <c r="AH123" s="43" t="n">
        <v>2</v>
      </c>
      <c r="AI123" s="43" t="n">
        <v>2</v>
      </c>
      <c r="AJ123" s="44"/>
      <c r="AK123" s="43" t="n">
        <v>0</v>
      </c>
      <c r="AL123" s="43" t="n">
        <v>11</v>
      </c>
      <c r="AM123" s="45" t="n">
        <v>0.7</v>
      </c>
      <c r="AN123" s="45" t="n">
        <v>0.3</v>
      </c>
      <c r="AO123" s="45" t="n">
        <v>1</v>
      </c>
      <c r="AP123" s="46" t="n">
        <v>1200</v>
      </c>
      <c r="AQ123" s="46" t="n">
        <v>1200</v>
      </c>
    </row>
    <row r="124" customFormat="false" ht="14.25" hidden="false" customHeight="false" outlineLevel="0" collapsed="false">
      <c r="A124" s="33" t="s">
        <v>274</v>
      </c>
      <c r="B124" s="33" t="n">
        <v>46097</v>
      </c>
      <c r="C124" s="34" t="s">
        <v>219</v>
      </c>
      <c r="D124" s="35" t="s">
        <v>148</v>
      </c>
      <c r="E124" s="35" t="s">
        <v>24</v>
      </c>
      <c r="F124" s="36" t="s">
        <v>244</v>
      </c>
      <c r="G124" s="37" t="s">
        <v>162</v>
      </c>
      <c r="H124" s="35" t="s">
        <v>112</v>
      </c>
      <c r="I124" s="35" t="s">
        <v>112</v>
      </c>
      <c r="J124" s="38" t="n">
        <v>22</v>
      </c>
      <c r="K124" s="47" t="n">
        <v>1</v>
      </c>
      <c r="L124" s="47" t="n">
        <v>1</v>
      </c>
      <c r="M124" s="47" t="n">
        <v>1</v>
      </c>
      <c r="N124" s="47" t="n">
        <v>1</v>
      </c>
      <c r="O124" s="40" t="n">
        <v>1</v>
      </c>
      <c r="P124" s="41" t="n">
        <v>1</v>
      </c>
      <c r="Q124" s="42" t="n">
        <v>12</v>
      </c>
      <c r="R124" s="42" t="n">
        <v>4</v>
      </c>
      <c r="S124" s="42" t="n">
        <v>16</v>
      </c>
      <c r="T124" s="42" t="n">
        <v>6</v>
      </c>
      <c r="U124" s="43" t="n">
        <v>0</v>
      </c>
      <c r="V124" s="43" t="n">
        <v>0</v>
      </c>
      <c r="W124" s="44" t="n">
        <v>0</v>
      </c>
      <c r="X124" s="44" t="n">
        <v>0</v>
      </c>
      <c r="Y124" s="43" t="n">
        <v>1</v>
      </c>
      <c r="Z124" s="43" t="n">
        <v>1</v>
      </c>
      <c r="AA124" s="44" t="n">
        <v>1</v>
      </c>
      <c r="AB124" s="44" t="n">
        <v>1</v>
      </c>
      <c r="AC124" s="43" t="n">
        <v>0</v>
      </c>
      <c r="AD124" s="43" t="n">
        <v>0</v>
      </c>
      <c r="AE124" s="44" t="n">
        <v>0</v>
      </c>
      <c r="AF124" s="44" t="n">
        <v>0</v>
      </c>
      <c r="AG124" s="43" t="n">
        <v>3</v>
      </c>
      <c r="AH124" s="43" t="n">
        <v>0</v>
      </c>
      <c r="AI124" s="43" t="n">
        <v>0</v>
      </c>
      <c r="AJ124" s="44"/>
      <c r="AK124" s="43" t="n">
        <v>2</v>
      </c>
      <c r="AL124" s="43" t="n">
        <v>7</v>
      </c>
      <c r="AM124" s="45" t="n">
        <v>0.7</v>
      </c>
      <c r="AN124" s="45" t="n">
        <v>0.3</v>
      </c>
      <c r="AO124" s="45" t="n">
        <v>1</v>
      </c>
      <c r="AP124" s="46" t="n">
        <v>1200</v>
      </c>
      <c r="AQ124" s="46" t="n">
        <v>1200</v>
      </c>
    </row>
    <row r="125" customFormat="false" ht="14.25" hidden="false" customHeight="false" outlineLevel="0" collapsed="false">
      <c r="A125" s="33" t="s">
        <v>275</v>
      </c>
      <c r="B125" s="33" t="n">
        <v>46062</v>
      </c>
      <c r="C125" s="34" t="s">
        <v>134</v>
      </c>
      <c r="D125" s="35" t="s">
        <v>148</v>
      </c>
      <c r="E125" s="35" t="s">
        <v>24</v>
      </c>
      <c r="F125" s="36" t="s">
        <v>244</v>
      </c>
      <c r="G125" s="37" t="s">
        <v>162</v>
      </c>
      <c r="H125" s="35" t="s">
        <v>112</v>
      </c>
      <c r="I125" s="35" t="s">
        <v>112</v>
      </c>
      <c r="J125" s="38" t="n">
        <v>22</v>
      </c>
      <c r="K125" s="47" t="n">
        <v>1</v>
      </c>
      <c r="L125" s="47" t="n">
        <v>1</v>
      </c>
      <c r="M125" s="47" t="n">
        <v>1</v>
      </c>
      <c r="N125" s="47" t="n">
        <v>1</v>
      </c>
      <c r="O125" s="40" t="n">
        <v>1</v>
      </c>
      <c r="P125" s="41" t="n">
        <v>1</v>
      </c>
      <c r="Q125" s="42" t="n">
        <v>12</v>
      </c>
      <c r="R125" s="42" t="n">
        <v>4</v>
      </c>
      <c r="S125" s="42" t="n">
        <v>16</v>
      </c>
      <c r="T125" s="42" t="n">
        <v>5</v>
      </c>
      <c r="U125" s="43" t="n">
        <v>3</v>
      </c>
      <c r="V125" s="43" t="n">
        <v>3</v>
      </c>
      <c r="W125" s="44" t="n">
        <v>4</v>
      </c>
      <c r="X125" s="44" t="n">
        <v>5</v>
      </c>
      <c r="Y125" s="43" t="n">
        <v>0</v>
      </c>
      <c r="Z125" s="43" t="n">
        <v>0</v>
      </c>
      <c r="AA125" s="44" t="n">
        <v>0</v>
      </c>
      <c r="AB125" s="44" t="n">
        <v>0</v>
      </c>
      <c r="AC125" s="43" t="n">
        <v>0</v>
      </c>
      <c r="AD125" s="43" t="n">
        <v>0</v>
      </c>
      <c r="AE125" s="44" t="n">
        <v>0</v>
      </c>
      <c r="AF125" s="44" t="n">
        <v>0</v>
      </c>
      <c r="AG125" s="43" t="n">
        <v>3</v>
      </c>
      <c r="AH125" s="43" t="n">
        <v>2</v>
      </c>
      <c r="AI125" s="43" t="n">
        <v>0</v>
      </c>
      <c r="AJ125" s="44"/>
      <c r="AK125" s="43" t="n">
        <v>0</v>
      </c>
      <c r="AL125" s="43" t="n">
        <v>18</v>
      </c>
      <c r="AM125" s="45" t="n">
        <v>0.7</v>
      </c>
      <c r="AN125" s="45" t="n">
        <v>0.3</v>
      </c>
      <c r="AO125" s="45" t="n">
        <v>1</v>
      </c>
      <c r="AP125" s="46" t="n">
        <v>1200</v>
      </c>
      <c r="AQ125" s="46" t="n">
        <v>1200</v>
      </c>
    </row>
    <row r="126" customFormat="false" ht="14.25" hidden="false" customHeight="false" outlineLevel="0" collapsed="false">
      <c r="A126" s="33" t="s">
        <v>276</v>
      </c>
      <c r="B126" s="33" t="n">
        <v>46054</v>
      </c>
      <c r="C126" s="34" t="s">
        <v>134</v>
      </c>
      <c r="D126" s="35" t="s">
        <v>148</v>
      </c>
      <c r="E126" s="35" t="s">
        <v>24</v>
      </c>
      <c r="F126" s="36" t="s">
        <v>244</v>
      </c>
      <c r="G126" s="37" t="s">
        <v>162</v>
      </c>
      <c r="H126" s="35" t="s">
        <v>112</v>
      </c>
      <c r="I126" s="35" t="s">
        <v>112</v>
      </c>
      <c r="J126" s="38" t="n">
        <v>22</v>
      </c>
      <c r="K126" s="47" t="n">
        <v>1</v>
      </c>
      <c r="L126" s="47" t="n">
        <v>1</v>
      </c>
      <c r="M126" s="47" t="n">
        <v>1</v>
      </c>
      <c r="N126" s="47" t="n">
        <v>1</v>
      </c>
      <c r="O126" s="40" t="n">
        <v>1</v>
      </c>
      <c r="P126" s="41" t="n">
        <v>1</v>
      </c>
      <c r="Q126" s="42" t="n">
        <v>12</v>
      </c>
      <c r="R126" s="42" t="n">
        <v>4</v>
      </c>
      <c r="S126" s="42" t="n">
        <v>16</v>
      </c>
      <c r="T126" s="42" t="n">
        <v>5</v>
      </c>
      <c r="U126" s="43" t="n">
        <v>0</v>
      </c>
      <c r="V126" s="43" t="n">
        <v>0</v>
      </c>
      <c r="W126" s="44" t="n">
        <v>0</v>
      </c>
      <c r="X126" s="44" t="n">
        <v>0</v>
      </c>
      <c r="Y126" s="43" t="n">
        <v>0</v>
      </c>
      <c r="Z126" s="43" t="n">
        <v>0</v>
      </c>
      <c r="AA126" s="44" t="n">
        <v>0</v>
      </c>
      <c r="AB126" s="44" t="n">
        <v>0</v>
      </c>
      <c r="AC126" s="43" t="n">
        <v>0</v>
      </c>
      <c r="AD126" s="43" t="n">
        <v>0</v>
      </c>
      <c r="AE126" s="44" t="n">
        <v>0</v>
      </c>
      <c r="AF126" s="44" t="n">
        <v>0</v>
      </c>
      <c r="AG126" s="43" t="n">
        <v>5</v>
      </c>
      <c r="AH126" s="43" t="n">
        <v>3</v>
      </c>
      <c r="AI126" s="43" t="n">
        <v>0</v>
      </c>
      <c r="AJ126" s="44"/>
      <c r="AK126" s="43" t="n">
        <v>0</v>
      </c>
      <c r="AL126" s="43" t="n">
        <v>5</v>
      </c>
      <c r="AM126" s="45" t="n">
        <v>0.7</v>
      </c>
      <c r="AN126" s="45" t="n">
        <v>0.3</v>
      </c>
      <c r="AO126" s="45" t="n">
        <v>1</v>
      </c>
      <c r="AP126" s="46" t="n">
        <v>1200</v>
      </c>
      <c r="AQ126" s="46" t="n">
        <v>1200</v>
      </c>
    </row>
    <row r="127" customFormat="false" ht="14.25" hidden="false" customHeight="false" outlineLevel="0" collapsed="false">
      <c r="A127" s="33" t="s">
        <v>277</v>
      </c>
      <c r="B127" s="33" t="n">
        <v>46097</v>
      </c>
      <c r="C127" s="34" t="s">
        <v>219</v>
      </c>
      <c r="D127" s="50" t="s">
        <v>148</v>
      </c>
      <c r="E127" s="50" t="s">
        <v>25</v>
      </c>
      <c r="F127" s="36" t="s">
        <v>206</v>
      </c>
      <c r="G127" s="37" t="s">
        <v>150</v>
      </c>
      <c r="H127" s="35" t="s">
        <v>112</v>
      </c>
      <c r="I127" s="35" t="s">
        <v>112</v>
      </c>
      <c r="J127" s="38" t="n">
        <v>22</v>
      </c>
      <c r="K127" s="47" t="n">
        <v>1</v>
      </c>
      <c r="L127" s="47" t="n">
        <v>1</v>
      </c>
      <c r="M127" s="47" t="n">
        <v>1</v>
      </c>
      <c r="N127" s="47" t="n">
        <v>1</v>
      </c>
      <c r="O127" s="40" t="n">
        <v>1</v>
      </c>
      <c r="P127" s="41" t="n">
        <v>1</v>
      </c>
      <c r="Q127" s="42" t="n">
        <v>8</v>
      </c>
      <c r="R127" s="42" t="n">
        <v>2</v>
      </c>
      <c r="S127" s="42" t="n">
        <v>10</v>
      </c>
      <c r="T127" s="42" t="n">
        <v>4</v>
      </c>
      <c r="U127" s="43" t="n">
        <v>0</v>
      </c>
      <c r="V127" s="43" t="n">
        <v>0</v>
      </c>
      <c r="W127" s="44" t="n">
        <v>0</v>
      </c>
      <c r="X127" s="44" t="n">
        <v>0</v>
      </c>
      <c r="Y127" s="43" t="n">
        <v>0</v>
      </c>
      <c r="Z127" s="43" t="n">
        <v>0</v>
      </c>
      <c r="AA127" s="44" t="n">
        <v>0</v>
      </c>
      <c r="AB127" s="44" t="n">
        <v>0</v>
      </c>
      <c r="AC127" s="43" t="n">
        <v>0</v>
      </c>
      <c r="AD127" s="43" t="n">
        <v>0</v>
      </c>
      <c r="AE127" s="44" t="n">
        <v>0</v>
      </c>
      <c r="AF127" s="44" t="n">
        <v>0</v>
      </c>
      <c r="AG127" s="43" t="n">
        <v>3</v>
      </c>
      <c r="AH127" s="43" t="n">
        <v>0</v>
      </c>
      <c r="AI127" s="43" t="n">
        <v>1</v>
      </c>
      <c r="AJ127" s="44"/>
      <c r="AK127" s="43" t="n">
        <v>0</v>
      </c>
      <c r="AL127" s="43" t="n">
        <v>2</v>
      </c>
      <c r="AM127" s="45" t="n">
        <v>0.7</v>
      </c>
      <c r="AN127" s="45" t="n">
        <v>0.3</v>
      </c>
      <c r="AO127" s="45" t="n">
        <v>1</v>
      </c>
      <c r="AP127" s="46" t="n">
        <v>1200</v>
      </c>
      <c r="AQ127" s="46" t="n">
        <v>1200</v>
      </c>
    </row>
    <row r="128" customFormat="false" ht="14.25" hidden="false" customHeight="false" outlineLevel="0" collapsed="false">
      <c r="A128" s="33" t="s">
        <v>278</v>
      </c>
      <c r="B128" s="33" t="n">
        <v>46097</v>
      </c>
      <c r="C128" s="34" t="s">
        <v>219</v>
      </c>
      <c r="D128" s="50" t="s">
        <v>148</v>
      </c>
      <c r="E128" s="50" t="s">
        <v>25</v>
      </c>
      <c r="F128" s="36" t="s">
        <v>206</v>
      </c>
      <c r="G128" s="37" t="s">
        <v>150</v>
      </c>
      <c r="H128" s="35" t="s">
        <v>112</v>
      </c>
      <c r="I128" s="35" t="s">
        <v>112</v>
      </c>
      <c r="J128" s="38" t="n">
        <v>22</v>
      </c>
      <c r="K128" s="47" t="n">
        <v>1</v>
      </c>
      <c r="L128" s="47" t="n">
        <v>1</v>
      </c>
      <c r="M128" s="47" t="n">
        <v>1</v>
      </c>
      <c r="N128" s="47" t="n">
        <v>1</v>
      </c>
      <c r="O128" s="40" t="n">
        <v>1</v>
      </c>
      <c r="P128" s="41" t="n">
        <v>1</v>
      </c>
      <c r="Q128" s="42" t="n">
        <v>8</v>
      </c>
      <c r="R128" s="42" t="n">
        <v>2</v>
      </c>
      <c r="S128" s="42" t="n">
        <v>10</v>
      </c>
      <c r="T128" s="42" t="n">
        <v>4</v>
      </c>
      <c r="U128" s="43" t="n">
        <v>0</v>
      </c>
      <c r="V128" s="43" t="n">
        <v>0</v>
      </c>
      <c r="W128" s="44" t="n">
        <v>0</v>
      </c>
      <c r="X128" s="44" t="n">
        <v>0</v>
      </c>
      <c r="Y128" s="43" t="n">
        <v>1</v>
      </c>
      <c r="Z128" s="43" t="n">
        <v>0</v>
      </c>
      <c r="AA128" s="44" t="n">
        <v>1</v>
      </c>
      <c r="AB128" s="44" t="n">
        <v>1</v>
      </c>
      <c r="AC128" s="43" t="n">
        <v>0</v>
      </c>
      <c r="AD128" s="43" t="n">
        <v>0</v>
      </c>
      <c r="AE128" s="44" t="n">
        <v>0</v>
      </c>
      <c r="AF128" s="44" t="n">
        <v>0</v>
      </c>
      <c r="AG128" s="43" t="n">
        <v>2</v>
      </c>
      <c r="AH128" s="43" t="n">
        <v>0</v>
      </c>
      <c r="AI128" s="43" t="n">
        <v>0</v>
      </c>
      <c r="AJ128" s="44"/>
      <c r="AK128" s="43" t="n">
        <v>0</v>
      </c>
      <c r="AL128" s="43" t="n">
        <v>5</v>
      </c>
      <c r="AM128" s="45" t="n">
        <v>0.7</v>
      </c>
      <c r="AN128" s="45" t="n">
        <v>0.3</v>
      </c>
      <c r="AO128" s="45" t="n">
        <v>1</v>
      </c>
      <c r="AP128" s="46" t="n">
        <v>1200</v>
      </c>
      <c r="AQ128" s="46" t="n">
        <v>1200</v>
      </c>
    </row>
    <row r="129" customFormat="false" ht="14.25" hidden="false" customHeight="false" outlineLevel="0" collapsed="false">
      <c r="A129" s="33" t="s">
        <v>279</v>
      </c>
      <c r="B129" s="33" t="n">
        <v>46062</v>
      </c>
      <c r="C129" s="34" t="s">
        <v>134</v>
      </c>
      <c r="D129" s="50" t="s">
        <v>148</v>
      </c>
      <c r="E129" s="50" t="s">
        <v>25</v>
      </c>
      <c r="F129" s="36" t="s">
        <v>206</v>
      </c>
      <c r="G129" s="37" t="s">
        <v>150</v>
      </c>
      <c r="H129" s="35" t="s">
        <v>112</v>
      </c>
      <c r="I129" s="35" t="s">
        <v>112</v>
      </c>
      <c r="J129" s="38" t="n">
        <v>22</v>
      </c>
      <c r="K129" s="47" t="n">
        <v>1</v>
      </c>
      <c r="L129" s="47" t="n">
        <v>1</v>
      </c>
      <c r="M129" s="47" t="n">
        <v>1</v>
      </c>
      <c r="N129" s="47" t="n">
        <v>1</v>
      </c>
      <c r="O129" s="40" t="n">
        <v>1</v>
      </c>
      <c r="P129" s="41" t="n">
        <v>1</v>
      </c>
      <c r="Q129" s="42" t="n">
        <v>8</v>
      </c>
      <c r="R129" s="42" t="n">
        <v>2</v>
      </c>
      <c r="S129" s="42" t="n">
        <v>10</v>
      </c>
      <c r="T129" s="42" t="n">
        <v>4</v>
      </c>
      <c r="U129" s="43" t="n">
        <v>1</v>
      </c>
      <c r="V129" s="43" t="n">
        <v>1</v>
      </c>
      <c r="W129" s="44" t="n">
        <v>1</v>
      </c>
      <c r="X129" s="44" t="n">
        <v>1</v>
      </c>
      <c r="Y129" s="43" t="n">
        <v>0</v>
      </c>
      <c r="Z129" s="43" t="n">
        <v>0</v>
      </c>
      <c r="AA129" s="44" t="n">
        <v>0</v>
      </c>
      <c r="AB129" s="44" t="n">
        <v>0</v>
      </c>
      <c r="AC129" s="43" t="n">
        <v>0</v>
      </c>
      <c r="AD129" s="43" t="n">
        <v>0</v>
      </c>
      <c r="AE129" s="44" t="n">
        <v>0</v>
      </c>
      <c r="AF129" s="44" t="n">
        <v>0</v>
      </c>
      <c r="AG129" s="43" t="n">
        <v>1</v>
      </c>
      <c r="AH129" s="43" t="n">
        <v>0</v>
      </c>
      <c r="AI129" s="43" t="n">
        <v>0</v>
      </c>
      <c r="AJ129" s="44"/>
      <c r="AK129" s="43" t="n">
        <v>0</v>
      </c>
      <c r="AL129" s="43" t="n">
        <v>5</v>
      </c>
      <c r="AM129" s="45" t="n">
        <v>0.7</v>
      </c>
      <c r="AN129" s="45" t="n">
        <v>0.3</v>
      </c>
      <c r="AO129" s="45" t="n">
        <v>1</v>
      </c>
      <c r="AP129" s="46" t="n">
        <v>1200</v>
      </c>
      <c r="AQ129" s="46" t="n">
        <v>1200</v>
      </c>
    </row>
    <row r="130" customFormat="false" ht="14.25" hidden="false" customHeight="false" outlineLevel="0" collapsed="false">
      <c r="A130" s="33" t="s">
        <v>280</v>
      </c>
      <c r="B130" s="33" t="n">
        <v>46146</v>
      </c>
      <c r="C130" s="34" t="s">
        <v>126</v>
      </c>
      <c r="D130" s="50" t="s">
        <v>148</v>
      </c>
      <c r="E130" s="50" t="s">
        <v>25</v>
      </c>
      <c r="F130" s="36" t="s">
        <v>206</v>
      </c>
      <c r="G130" s="37" t="s">
        <v>150</v>
      </c>
      <c r="H130" s="35" t="s">
        <v>112</v>
      </c>
      <c r="I130" s="35" t="s">
        <v>112</v>
      </c>
      <c r="J130" s="38" t="n">
        <v>22</v>
      </c>
      <c r="K130" s="47" t="n">
        <v>1</v>
      </c>
      <c r="L130" s="47" t="n">
        <v>1</v>
      </c>
      <c r="M130" s="47" t="n">
        <v>1</v>
      </c>
      <c r="N130" s="47" t="n">
        <v>1</v>
      </c>
      <c r="O130" s="40" t="n">
        <v>1</v>
      </c>
      <c r="P130" s="41" t="n">
        <v>1</v>
      </c>
      <c r="Q130" s="42" t="n">
        <v>8</v>
      </c>
      <c r="R130" s="42" t="n">
        <v>2</v>
      </c>
      <c r="S130" s="42" t="n">
        <v>10</v>
      </c>
      <c r="T130" s="42" t="n">
        <v>4</v>
      </c>
      <c r="U130" s="43" t="n">
        <v>2</v>
      </c>
      <c r="V130" s="43" t="n">
        <v>2</v>
      </c>
      <c r="W130" s="44" t="n">
        <v>2</v>
      </c>
      <c r="X130" s="44" t="n">
        <v>3</v>
      </c>
      <c r="Y130" s="43" t="n">
        <v>0</v>
      </c>
      <c r="Z130" s="43" t="n">
        <v>0</v>
      </c>
      <c r="AA130" s="44" t="n">
        <v>0</v>
      </c>
      <c r="AB130" s="44" t="n">
        <v>0</v>
      </c>
      <c r="AC130" s="43" t="n">
        <v>0</v>
      </c>
      <c r="AD130" s="43" t="n">
        <v>0</v>
      </c>
      <c r="AE130" s="44" t="n">
        <v>0</v>
      </c>
      <c r="AF130" s="44" t="n">
        <v>0</v>
      </c>
      <c r="AG130" s="43" t="n">
        <v>1</v>
      </c>
      <c r="AH130" s="43" t="n">
        <v>1</v>
      </c>
      <c r="AI130" s="43" t="n">
        <v>0</v>
      </c>
      <c r="AJ130" s="44"/>
      <c r="AK130" s="43" t="n">
        <v>0</v>
      </c>
      <c r="AL130" s="43" t="n">
        <v>9</v>
      </c>
      <c r="AM130" s="45" t="n">
        <v>0.7</v>
      </c>
      <c r="AN130" s="45" t="n">
        <v>0.3</v>
      </c>
      <c r="AO130" s="45" t="n">
        <v>1</v>
      </c>
      <c r="AP130" s="46" t="n">
        <v>1200</v>
      </c>
      <c r="AQ130" s="46" t="n">
        <v>1200</v>
      </c>
    </row>
    <row r="131" customFormat="false" ht="14.25" hidden="false" customHeight="false" outlineLevel="0" collapsed="false">
      <c r="A131" s="33" t="s">
        <v>281</v>
      </c>
      <c r="B131" s="33" t="n">
        <v>46113</v>
      </c>
      <c r="C131" s="34" t="s">
        <v>140</v>
      </c>
      <c r="D131" s="50" t="s">
        <v>148</v>
      </c>
      <c r="E131" s="50" t="s">
        <v>25</v>
      </c>
      <c r="F131" s="36" t="s">
        <v>206</v>
      </c>
      <c r="G131" s="37" t="s">
        <v>150</v>
      </c>
      <c r="H131" s="35" t="s">
        <v>112</v>
      </c>
      <c r="I131" s="35" t="s">
        <v>112</v>
      </c>
      <c r="J131" s="38" t="n">
        <v>22</v>
      </c>
      <c r="K131" s="47" t="n">
        <v>1</v>
      </c>
      <c r="L131" s="47" t="n">
        <v>1</v>
      </c>
      <c r="M131" s="47" t="n">
        <v>1</v>
      </c>
      <c r="N131" s="47" t="n">
        <v>1</v>
      </c>
      <c r="O131" s="40" t="n">
        <v>1</v>
      </c>
      <c r="P131" s="41" t="n">
        <v>1</v>
      </c>
      <c r="Q131" s="42" t="n">
        <v>8</v>
      </c>
      <c r="R131" s="42" t="n">
        <v>2</v>
      </c>
      <c r="S131" s="42" t="n">
        <v>10</v>
      </c>
      <c r="T131" s="42" t="n">
        <v>4</v>
      </c>
      <c r="U131" s="43" t="n">
        <v>1</v>
      </c>
      <c r="V131" s="43" t="n">
        <v>1</v>
      </c>
      <c r="W131" s="44" t="n">
        <v>1</v>
      </c>
      <c r="X131" s="44" t="n">
        <v>1</v>
      </c>
      <c r="Y131" s="43" t="n">
        <v>0</v>
      </c>
      <c r="Z131" s="43" t="n">
        <v>0</v>
      </c>
      <c r="AA131" s="44" t="n">
        <v>0</v>
      </c>
      <c r="AB131" s="44" t="n">
        <v>0</v>
      </c>
      <c r="AC131" s="43" t="n">
        <v>0</v>
      </c>
      <c r="AD131" s="43" t="n">
        <v>0</v>
      </c>
      <c r="AE131" s="44" t="n">
        <v>0</v>
      </c>
      <c r="AF131" s="44" t="n">
        <v>0</v>
      </c>
      <c r="AG131" s="43" t="n">
        <v>0</v>
      </c>
      <c r="AH131" s="43" t="n">
        <v>1</v>
      </c>
      <c r="AI131" s="43" t="n">
        <v>0</v>
      </c>
      <c r="AJ131" s="44"/>
      <c r="AK131" s="43" t="n">
        <v>0</v>
      </c>
      <c r="AL131" s="43" t="n">
        <v>5</v>
      </c>
      <c r="AM131" s="45" t="n">
        <v>0.7</v>
      </c>
      <c r="AN131" s="45" t="n">
        <v>0.3</v>
      </c>
      <c r="AO131" s="45" t="n">
        <v>1</v>
      </c>
      <c r="AP131" s="46" t="n">
        <v>1200</v>
      </c>
      <c r="AQ131" s="46" t="n">
        <v>1200</v>
      </c>
    </row>
    <row r="132" customFormat="false" ht="14.25" hidden="false" customHeight="false" outlineLevel="0" collapsed="false">
      <c r="A132" s="33" t="s">
        <v>282</v>
      </c>
      <c r="B132" s="33" t="n">
        <v>46113</v>
      </c>
      <c r="C132" s="34" t="s">
        <v>140</v>
      </c>
      <c r="D132" s="50" t="s">
        <v>148</v>
      </c>
      <c r="E132" s="50" t="s">
        <v>25</v>
      </c>
      <c r="F132" s="36" t="s">
        <v>206</v>
      </c>
      <c r="G132" s="37" t="s">
        <v>150</v>
      </c>
      <c r="H132" s="35" t="s">
        <v>112</v>
      </c>
      <c r="I132" s="35" t="s">
        <v>112</v>
      </c>
      <c r="J132" s="38" t="n">
        <v>22</v>
      </c>
      <c r="K132" s="47" t="n">
        <v>1</v>
      </c>
      <c r="L132" s="47" t="n">
        <v>1</v>
      </c>
      <c r="M132" s="47" t="n">
        <v>1</v>
      </c>
      <c r="N132" s="47" t="n">
        <v>1</v>
      </c>
      <c r="O132" s="40" t="n">
        <v>1</v>
      </c>
      <c r="P132" s="41" t="n">
        <v>1</v>
      </c>
      <c r="Q132" s="42" t="n">
        <v>8</v>
      </c>
      <c r="R132" s="42" t="n">
        <v>2</v>
      </c>
      <c r="S132" s="42" t="n">
        <v>10</v>
      </c>
      <c r="T132" s="42" t="n">
        <v>4</v>
      </c>
      <c r="U132" s="43" t="n">
        <v>0</v>
      </c>
      <c r="V132" s="43" t="n">
        <v>0</v>
      </c>
      <c r="W132" s="44" t="n">
        <v>0</v>
      </c>
      <c r="X132" s="44" t="n">
        <v>0</v>
      </c>
      <c r="Y132" s="43" t="n">
        <v>1</v>
      </c>
      <c r="Z132" s="43" t="n">
        <v>0</v>
      </c>
      <c r="AA132" s="44" t="n">
        <v>1</v>
      </c>
      <c r="AB132" s="44" t="n">
        <v>1</v>
      </c>
      <c r="AC132" s="43" t="n">
        <v>0</v>
      </c>
      <c r="AD132" s="43" t="n">
        <v>0</v>
      </c>
      <c r="AE132" s="44" t="n">
        <v>0</v>
      </c>
      <c r="AF132" s="44" t="n">
        <v>0</v>
      </c>
      <c r="AG132" s="43" t="n">
        <v>0</v>
      </c>
      <c r="AH132" s="43" t="n">
        <v>1</v>
      </c>
      <c r="AI132" s="43" t="n">
        <v>0</v>
      </c>
      <c r="AJ132" s="44"/>
      <c r="AK132" s="43" t="n">
        <v>2</v>
      </c>
      <c r="AL132" s="43" t="n">
        <v>5</v>
      </c>
      <c r="AM132" s="45" t="n">
        <v>0.7</v>
      </c>
      <c r="AN132" s="45" t="n">
        <v>0.3</v>
      </c>
      <c r="AO132" s="45" t="n">
        <v>1</v>
      </c>
      <c r="AP132" s="46" t="n">
        <v>1200</v>
      </c>
      <c r="AQ132" s="46" t="n">
        <v>1200</v>
      </c>
    </row>
    <row r="133" customFormat="false" ht="14.25" hidden="false" customHeight="false" outlineLevel="0" collapsed="false">
      <c r="A133" s="33" t="s">
        <v>283</v>
      </c>
      <c r="B133" s="33" t="n">
        <v>46097</v>
      </c>
      <c r="C133" s="34" t="s">
        <v>219</v>
      </c>
      <c r="D133" s="50" t="s">
        <v>148</v>
      </c>
      <c r="E133" s="50" t="s">
        <v>25</v>
      </c>
      <c r="F133" s="36" t="s">
        <v>206</v>
      </c>
      <c r="G133" s="37" t="s">
        <v>150</v>
      </c>
      <c r="H133" s="35" t="s">
        <v>112</v>
      </c>
      <c r="I133" s="35" t="s">
        <v>112</v>
      </c>
      <c r="J133" s="38" t="n">
        <v>22</v>
      </c>
      <c r="K133" s="47" t="n">
        <v>1</v>
      </c>
      <c r="L133" s="47" t="n">
        <v>1</v>
      </c>
      <c r="M133" s="47" t="n">
        <v>1</v>
      </c>
      <c r="N133" s="47" t="n">
        <v>1</v>
      </c>
      <c r="O133" s="40" t="n">
        <v>1</v>
      </c>
      <c r="P133" s="41" t="n">
        <v>1</v>
      </c>
      <c r="Q133" s="42" t="n">
        <v>8</v>
      </c>
      <c r="R133" s="42" t="n">
        <v>2</v>
      </c>
      <c r="S133" s="42" t="n">
        <v>10</v>
      </c>
      <c r="T133" s="42" t="n">
        <v>4</v>
      </c>
      <c r="U133" s="43" t="n">
        <v>0</v>
      </c>
      <c r="V133" s="43" t="n">
        <v>0</v>
      </c>
      <c r="W133" s="44" t="n">
        <v>0</v>
      </c>
      <c r="X133" s="44" t="n">
        <v>0</v>
      </c>
      <c r="Y133" s="43" t="n">
        <v>0</v>
      </c>
      <c r="Z133" s="43" t="n">
        <v>0</v>
      </c>
      <c r="AA133" s="44" t="n">
        <v>0</v>
      </c>
      <c r="AB133" s="44" t="n">
        <v>0</v>
      </c>
      <c r="AC133" s="43" t="n">
        <v>0</v>
      </c>
      <c r="AD133" s="43" t="n">
        <v>0</v>
      </c>
      <c r="AE133" s="44" t="n">
        <v>0</v>
      </c>
      <c r="AF133" s="44" t="n">
        <v>0</v>
      </c>
      <c r="AG133" s="43" t="n">
        <v>0</v>
      </c>
      <c r="AH133" s="43" t="n">
        <v>3</v>
      </c>
      <c r="AI133" s="43" t="n">
        <v>0</v>
      </c>
      <c r="AJ133" s="44"/>
      <c r="AK133" s="43" t="n">
        <v>0</v>
      </c>
      <c r="AL133" s="43" t="n">
        <v>0</v>
      </c>
      <c r="AM133" s="45" t="n">
        <v>0.7</v>
      </c>
      <c r="AN133" s="45" t="n">
        <v>0.3</v>
      </c>
      <c r="AO133" s="45" t="n">
        <v>1</v>
      </c>
      <c r="AP133" s="46" t="n">
        <v>1200</v>
      </c>
      <c r="AQ133" s="46" t="n">
        <v>1200</v>
      </c>
    </row>
    <row r="134" customFormat="false" ht="14.25" hidden="false" customHeight="false" outlineLevel="0" collapsed="false">
      <c r="A134" s="33" t="s">
        <v>284</v>
      </c>
      <c r="B134" s="33" t="n">
        <v>45600</v>
      </c>
      <c r="C134" s="34" t="s">
        <v>108</v>
      </c>
      <c r="D134" s="50" t="s">
        <v>148</v>
      </c>
      <c r="E134" s="50" t="s">
        <v>25</v>
      </c>
      <c r="F134" s="36" t="s">
        <v>206</v>
      </c>
      <c r="G134" s="37" t="s">
        <v>150</v>
      </c>
      <c r="H134" s="35" t="s">
        <v>112</v>
      </c>
      <c r="I134" s="35" t="s">
        <v>112</v>
      </c>
      <c r="J134" s="38" t="n">
        <v>5.5</v>
      </c>
      <c r="K134" s="47" t="n">
        <v>0</v>
      </c>
      <c r="L134" s="47" t="n">
        <v>0</v>
      </c>
      <c r="M134" s="47" t="n">
        <v>0</v>
      </c>
      <c r="N134" s="47" t="n">
        <v>1</v>
      </c>
      <c r="O134" s="40" t="n">
        <v>0.25</v>
      </c>
      <c r="P134" s="41" t="n">
        <v>0.25</v>
      </c>
      <c r="Q134" s="42" t="n">
        <v>2</v>
      </c>
      <c r="R134" s="42" t="n">
        <v>1</v>
      </c>
      <c r="S134" s="42" t="n">
        <v>3</v>
      </c>
      <c r="T134" s="42" t="n">
        <v>1</v>
      </c>
      <c r="U134" s="43" t="n">
        <v>0</v>
      </c>
      <c r="V134" s="43" t="n">
        <v>0</v>
      </c>
      <c r="W134" s="44" t="n">
        <v>0</v>
      </c>
      <c r="X134" s="44" t="n">
        <v>0</v>
      </c>
      <c r="Y134" s="43" t="n">
        <v>0</v>
      </c>
      <c r="Z134" s="43" t="n">
        <v>0</v>
      </c>
      <c r="AA134" s="44" t="n">
        <v>0</v>
      </c>
      <c r="AB134" s="44" t="n">
        <v>0</v>
      </c>
      <c r="AC134" s="43" t="n">
        <v>0</v>
      </c>
      <c r="AD134" s="43" t="n">
        <v>0</v>
      </c>
      <c r="AE134" s="44" t="n">
        <v>0</v>
      </c>
      <c r="AF134" s="44" t="n">
        <v>0</v>
      </c>
      <c r="AG134" s="43" t="n">
        <v>0</v>
      </c>
      <c r="AH134" s="43" t="n">
        <v>0</v>
      </c>
      <c r="AI134" s="43" t="n">
        <v>0</v>
      </c>
      <c r="AJ134" s="44"/>
      <c r="AK134" s="43" t="n">
        <v>0</v>
      </c>
      <c r="AL134" s="43" t="n">
        <v>0</v>
      </c>
      <c r="AM134" s="45" t="n">
        <v>0.7</v>
      </c>
      <c r="AN134" s="45" t="n">
        <v>0.3</v>
      </c>
      <c r="AO134" s="45" t="n">
        <v>0.25</v>
      </c>
      <c r="AP134" s="46" t="n">
        <v>1200</v>
      </c>
      <c r="AQ134" s="46" t="n">
        <v>300</v>
      </c>
    </row>
    <row r="135" customFormat="false" ht="14.25" hidden="false" customHeight="false" outlineLevel="0" collapsed="false">
      <c r="A135" s="33" t="s">
        <v>285</v>
      </c>
      <c r="B135" s="33" t="n">
        <v>44896</v>
      </c>
      <c r="C135" s="34" t="s">
        <v>108</v>
      </c>
      <c r="D135" s="35" t="s">
        <v>148</v>
      </c>
      <c r="E135" s="35" t="s">
        <v>25</v>
      </c>
      <c r="F135" s="36" t="s">
        <v>206</v>
      </c>
      <c r="G135" s="37" t="s">
        <v>150</v>
      </c>
      <c r="H135" s="35" t="s">
        <v>112</v>
      </c>
      <c r="I135" s="35" t="s">
        <v>112</v>
      </c>
      <c r="J135" s="38" t="n">
        <v>17.5</v>
      </c>
      <c r="K135" s="47" t="n">
        <v>1</v>
      </c>
      <c r="L135" s="47" t="n">
        <v>1</v>
      </c>
      <c r="M135" s="47" t="n">
        <v>1</v>
      </c>
      <c r="N135" s="47" t="n">
        <v>0.181818181818182</v>
      </c>
      <c r="O135" s="40" t="n">
        <v>0.795454545454545</v>
      </c>
      <c r="P135" s="41" t="n">
        <v>0.795454545454545</v>
      </c>
      <c r="Q135" s="42" t="n">
        <v>6</v>
      </c>
      <c r="R135" s="42" t="n">
        <v>2</v>
      </c>
      <c r="S135" s="42" t="n">
        <v>8</v>
      </c>
      <c r="T135" s="42" t="n">
        <v>3</v>
      </c>
      <c r="U135" s="43" t="n">
        <v>0</v>
      </c>
      <c r="V135" s="43" t="n">
        <v>0</v>
      </c>
      <c r="W135" s="44" t="n">
        <v>0</v>
      </c>
      <c r="X135" s="44" t="n">
        <v>0</v>
      </c>
      <c r="Y135" s="43" t="n">
        <v>0</v>
      </c>
      <c r="Z135" s="43" t="n">
        <v>0</v>
      </c>
      <c r="AA135" s="44" t="n">
        <v>0</v>
      </c>
      <c r="AB135" s="44" t="n">
        <v>0</v>
      </c>
      <c r="AC135" s="43" t="n">
        <v>0</v>
      </c>
      <c r="AD135" s="43" t="n">
        <v>0</v>
      </c>
      <c r="AE135" s="44" t="n">
        <v>0</v>
      </c>
      <c r="AF135" s="44" t="n">
        <v>0</v>
      </c>
      <c r="AG135" s="43" t="n">
        <v>2</v>
      </c>
      <c r="AH135" s="43" t="n">
        <v>0</v>
      </c>
      <c r="AI135" s="43" t="n">
        <v>2</v>
      </c>
      <c r="AJ135" s="44"/>
      <c r="AK135" s="43" t="n">
        <v>0</v>
      </c>
      <c r="AL135" s="43" t="n">
        <v>2</v>
      </c>
      <c r="AM135" s="45" t="n">
        <v>0.7</v>
      </c>
      <c r="AN135" s="45" t="n">
        <v>0.3</v>
      </c>
      <c r="AO135" s="45" t="n">
        <v>0.795454545454545</v>
      </c>
      <c r="AP135" s="46" t="n">
        <v>1200</v>
      </c>
      <c r="AQ135" s="46" t="n">
        <v>955</v>
      </c>
    </row>
    <row r="136" customFormat="false" ht="14.25" hidden="false" customHeight="false" outlineLevel="0" collapsed="false">
      <c r="A136" s="33" t="s">
        <v>286</v>
      </c>
      <c r="B136" s="33" t="n">
        <v>45852</v>
      </c>
      <c r="C136" s="34" t="s">
        <v>108</v>
      </c>
      <c r="D136" s="35" t="s">
        <v>148</v>
      </c>
      <c r="E136" s="35" t="s">
        <v>25</v>
      </c>
      <c r="F136" s="36" t="s">
        <v>206</v>
      </c>
      <c r="G136" s="37" t="s">
        <v>150</v>
      </c>
      <c r="H136" s="35" t="s">
        <v>112</v>
      </c>
      <c r="I136" s="35" t="s">
        <v>112</v>
      </c>
      <c r="J136" s="38" t="n">
        <v>22</v>
      </c>
      <c r="K136" s="47" t="n">
        <v>1</v>
      </c>
      <c r="L136" s="47" t="n">
        <v>1</v>
      </c>
      <c r="M136" s="47" t="n">
        <v>1</v>
      </c>
      <c r="N136" s="47" t="n">
        <v>1</v>
      </c>
      <c r="O136" s="40" t="n">
        <v>1</v>
      </c>
      <c r="P136" s="41" t="n">
        <v>1</v>
      </c>
      <c r="Q136" s="42" t="n">
        <v>8</v>
      </c>
      <c r="R136" s="42" t="n">
        <v>2</v>
      </c>
      <c r="S136" s="42" t="n">
        <v>10</v>
      </c>
      <c r="T136" s="42" t="n">
        <v>5</v>
      </c>
      <c r="U136" s="43" t="n">
        <v>0</v>
      </c>
      <c r="V136" s="43" t="n">
        <v>0</v>
      </c>
      <c r="W136" s="44" t="n">
        <v>0</v>
      </c>
      <c r="X136" s="44" t="n">
        <v>0</v>
      </c>
      <c r="Y136" s="43" t="n">
        <v>0</v>
      </c>
      <c r="Z136" s="43" t="n">
        <v>0</v>
      </c>
      <c r="AA136" s="44" t="n">
        <v>0</v>
      </c>
      <c r="AB136" s="44" t="n">
        <v>0</v>
      </c>
      <c r="AC136" s="43" t="n">
        <v>0</v>
      </c>
      <c r="AD136" s="43" t="n">
        <v>0</v>
      </c>
      <c r="AE136" s="44" t="n">
        <v>0</v>
      </c>
      <c r="AF136" s="44" t="n">
        <v>0</v>
      </c>
      <c r="AG136" s="43" t="n">
        <v>2</v>
      </c>
      <c r="AH136" s="43" t="n">
        <v>3</v>
      </c>
      <c r="AI136" s="43" t="n">
        <v>1</v>
      </c>
      <c r="AJ136" s="44"/>
      <c r="AK136" s="43" t="n">
        <v>0</v>
      </c>
      <c r="AL136" s="43" t="n">
        <v>3</v>
      </c>
      <c r="AM136" s="45" t="n">
        <v>0.7</v>
      </c>
      <c r="AN136" s="45" t="n">
        <v>0.3</v>
      </c>
      <c r="AO136" s="45" t="n">
        <v>1</v>
      </c>
      <c r="AP136" s="46" t="n">
        <v>1200</v>
      </c>
      <c r="AQ136" s="46" t="n">
        <v>1200</v>
      </c>
    </row>
    <row r="137" customFormat="false" ht="14.25" hidden="false" customHeight="false" outlineLevel="0" collapsed="false">
      <c r="A137" s="33" t="s">
        <v>287</v>
      </c>
      <c r="B137" s="33" t="n">
        <v>45973</v>
      </c>
      <c r="C137" s="34" t="s">
        <v>171</v>
      </c>
      <c r="D137" s="35" t="s">
        <v>148</v>
      </c>
      <c r="E137" s="35" t="s">
        <v>25</v>
      </c>
      <c r="F137" s="36" t="s">
        <v>206</v>
      </c>
      <c r="G137" s="37" t="s">
        <v>150</v>
      </c>
      <c r="H137" s="35" t="s">
        <v>112</v>
      </c>
      <c r="I137" s="35" t="s">
        <v>112</v>
      </c>
      <c r="J137" s="38" t="n">
        <v>22</v>
      </c>
      <c r="K137" s="47" t="n">
        <v>1</v>
      </c>
      <c r="L137" s="47" t="n">
        <v>1</v>
      </c>
      <c r="M137" s="47" t="n">
        <v>1</v>
      </c>
      <c r="N137" s="47" t="n">
        <v>1</v>
      </c>
      <c r="O137" s="40" t="n">
        <v>1</v>
      </c>
      <c r="P137" s="41" t="n">
        <v>1</v>
      </c>
      <c r="Q137" s="42" t="n">
        <v>8</v>
      </c>
      <c r="R137" s="42" t="n">
        <v>2</v>
      </c>
      <c r="S137" s="42" t="n">
        <v>10</v>
      </c>
      <c r="T137" s="42" t="n">
        <v>5</v>
      </c>
      <c r="U137" s="43" t="n">
        <v>2</v>
      </c>
      <c r="V137" s="43" t="n">
        <v>2</v>
      </c>
      <c r="W137" s="44" t="n">
        <v>2</v>
      </c>
      <c r="X137" s="44" t="n">
        <v>3</v>
      </c>
      <c r="Y137" s="43" t="n">
        <v>0</v>
      </c>
      <c r="Z137" s="43" t="n">
        <v>0</v>
      </c>
      <c r="AA137" s="44" t="n">
        <v>0</v>
      </c>
      <c r="AB137" s="44" t="n">
        <v>0</v>
      </c>
      <c r="AC137" s="43" t="n">
        <v>0</v>
      </c>
      <c r="AD137" s="43" t="n">
        <v>0</v>
      </c>
      <c r="AE137" s="44" t="n">
        <v>0</v>
      </c>
      <c r="AF137" s="44" t="n">
        <v>0</v>
      </c>
      <c r="AG137" s="43" t="n">
        <v>1</v>
      </c>
      <c r="AH137" s="43" t="n">
        <v>1</v>
      </c>
      <c r="AI137" s="43" t="n">
        <v>0</v>
      </c>
      <c r="AJ137" s="44"/>
      <c r="AK137" s="43" t="n">
        <v>0</v>
      </c>
      <c r="AL137" s="43" t="n">
        <v>9</v>
      </c>
      <c r="AM137" s="45" t="n">
        <v>0.7</v>
      </c>
      <c r="AN137" s="45" t="n">
        <v>0.3</v>
      </c>
      <c r="AO137" s="45" t="n">
        <v>1</v>
      </c>
      <c r="AP137" s="46" t="n">
        <v>1200</v>
      </c>
      <c r="AQ137" s="46" t="n">
        <v>1200</v>
      </c>
    </row>
    <row r="138" customFormat="false" ht="14.25" hidden="false" customHeight="false" outlineLevel="0" collapsed="false">
      <c r="A138" s="33" t="s">
        <v>288</v>
      </c>
      <c r="B138" s="33" t="n">
        <v>46097</v>
      </c>
      <c r="C138" s="34" t="s">
        <v>219</v>
      </c>
      <c r="D138" s="35" t="s">
        <v>186</v>
      </c>
      <c r="E138" s="35" t="s">
        <v>27</v>
      </c>
      <c r="F138" s="36" t="s">
        <v>208</v>
      </c>
      <c r="G138" s="37" t="s">
        <v>188</v>
      </c>
      <c r="H138" s="35" t="s">
        <v>112</v>
      </c>
      <c r="I138" s="35" t="s">
        <v>112</v>
      </c>
      <c r="J138" s="38" t="n">
        <v>22</v>
      </c>
      <c r="K138" s="47" t="n">
        <v>1</v>
      </c>
      <c r="L138" s="47" t="n">
        <v>1</v>
      </c>
      <c r="M138" s="47" t="n">
        <v>1</v>
      </c>
      <c r="N138" s="47" t="n">
        <v>1</v>
      </c>
      <c r="O138" s="40" t="n">
        <v>1</v>
      </c>
      <c r="P138" s="41" t="n">
        <v>1</v>
      </c>
      <c r="Q138" s="42" t="n">
        <v>4</v>
      </c>
      <c r="R138" s="42" t="n">
        <v>1</v>
      </c>
      <c r="S138" s="42" t="n">
        <v>5</v>
      </c>
      <c r="T138" s="42" t="n">
        <v>2</v>
      </c>
      <c r="U138" s="43" t="n">
        <v>0</v>
      </c>
      <c r="V138" s="43" t="n">
        <v>0</v>
      </c>
      <c r="W138" s="44" t="n">
        <v>0</v>
      </c>
      <c r="X138" s="44" t="n">
        <v>0</v>
      </c>
      <c r="Y138" s="43" t="n">
        <v>0</v>
      </c>
      <c r="Z138" s="43" t="n">
        <v>0</v>
      </c>
      <c r="AA138" s="44" t="n">
        <v>0</v>
      </c>
      <c r="AB138" s="44" t="n">
        <v>0</v>
      </c>
      <c r="AC138" s="43" t="n">
        <v>0</v>
      </c>
      <c r="AD138" s="43" t="n">
        <v>0</v>
      </c>
      <c r="AE138" s="44" t="n">
        <v>0</v>
      </c>
      <c r="AF138" s="44" t="n">
        <v>0</v>
      </c>
      <c r="AG138" s="43" t="n">
        <v>0</v>
      </c>
      <c r="AH138" s="43" t="n">
        <v>0</v>
      </c>
      <c r="AI138" s="43" t="n">
        <v>0</v>
      </c>
      <c r="AJ138" s="44"/>
      <c r="AK138" s="43" t="n">
        <v>0</v>
      </c>
      <c r="AL138" s="43" t="n">
        <v>0</v>
      </c>
      <c r="AM138" s="45" t="n">
        <v>0.7</v>
      </c>
      <c r="AN138" s="45" t="n">
        <v>0.3</v>
      </c>
      <c r="AO138" s="45" t="n">
        <v>1</v>
      </c>
      <c r="AP138" s="46" t="n">
        <v>1200</v>
      </c>
      <c r="AQ138" s="46" t="n">
        <v>1200</v>
      </c>
    </row>
    <row r="139" customFormat="false" ht="14.25" hidden="false" customHeight="false" outlineLevel="0" collapsed="false">
      <c r="A139" s="51" t="s">
        <v>289</v>
      </c>
      <c r="B139" s="33" t="n">
        <v>45474</v>
      </c>
      <c r="C139" s="34" t="s">
        <v>108</v>
      </c>
      <c r="D139" s="35" t="s">
        <v>186</v>
      </c>
      <c r="E139" s="35" t="s">
        <v>27</v>
      </c>
      <c r="F139" s="48" t="s">
        <v>208</v>
      </c>
      <c r="G139" s="37" t="s">
        <v>188</v>
      </c>
      <c r="H139" s="35" t="s">
        <v>112</v>
      </c>
      <c r="I139" s="35" t="s">
        <v>112</v>
      </c>
      <c r="J139" s="38" t="n">
        <v>5.5</v>
      </c>
      <c r="K139" s="47" t="n">
        <v>0</v>
      </c>
      <c r="L139" s="47" t="n">
        <v>0</v>
      </c>
      <c r="M139" s="47" t="n">
        <v>0</v>
      </c>
      <c r="N139" s="47" t="n">
        <v>1</v>
      </c>
      <c r="O139" s="40" t="n">
        <v>0.25</v>
      </c>
      <c r="P139" s="41" t="n">
        <v>0.25</v>
      </c>
      <c r="Q139" s="42" t="n">
        <v>2</v>
      </c>
      <c r="R139" s="42" t="n">
        <v>0</v>
      </c>
      <c r="S139" s="42" t="n">
        <v>2</v>
      </c>
      <c r="T139" s="42" t="n">
        <v>1</v>
      </c>
      <c r="U139" s="43" t="n">
        <v>0</v>
      </c>
      <c r="V139" s="43" t="n">
        <v>0</v>
      </c>
      <c r="W139" s="44" t="n">
        <v>0</v>
      </c>
      <c r="X139" s="44" t="n">
        <v>0</v>
      </c>
      <c r="Y139" s="43" t="n">
        <v>0</v>
      </c>
      <c r="Z139" s="43" t="n">
        <v>0</v>
      </c>
      <c r="AA139" s="44" t="n">
        <v>0</v>
      </c>
      <c r="AB139" s="44" t="n">
        <v>0</v>
      </c>
      <c r="AC139" s="43" t="n">
        <v>0</v>
      </c>
      <c r="AD139" s="43" t="n">
        <v>0</v>
      </c>
      <c r="AE139" s="44" t="n">
        <v>0</v>
      </c>
      <c r="AF139" s="44" t="n">
        <v>0</v>
      </c>
      <c r="AG139" s="43" t="n">
        <v>0</v>
      </c>
      <c r="AH139" s="43" t="n">
        <v>0</v>
      </c>
      <c r="AI139" s="43" t="n">
        <v>0</v>
      </c>
      <c r="AJ139" s="44"/>
      <c r="AK139" s="43" t="n">
        <v>0</v>
      </c>
      <c r="AL139" s="43" t="n">
        <v>0</v>
      </c>
      <c r="AM139" s="45" t="n">
        <v>0.7</v>
      </c>
      <c r="AN139" s="45" t="n">
        <v>0.3</v>
      </c>
      <c r="AO139" s="45" t="n">
        <v>0.25</v>
      </c>
      <c r="AP139" s="46" t="n">
        <v>1200</v>
      </c>
      <c r="AQ139" s="46" t="n">
        <v>300</v>
      </c>
    </row>
    <row r="140" customFormat="false" ht="14.25" hidden="false" customHeight="false" outlineLevel="0" collapsed="false">
      <c r="A140" s="51" t="s">
        <v>290</v>
      </c>
      <c r="B140" s="33" t="n">
        <v>46097</v>
      </c>
      <c r="C140" s="34" t="s">
        <v>219</v>
      </c>
      <c r="D140" s="35" t="s">
        <v>186</v>
      </c>
      <c r="E140" s="35" t="s">
        <v>27</v>
      </c>
      <c r="F140" s="48" t="s">
        <v>208</v>
      </c>
      <c r="G140" s="37" t="s">
        <v>188</v>
      </c>
      <c r="H140" s="35" t="s">
        <v>112</v>
      </c>
      <c r="I140" s="35" t="s">
        <v>112</v>
      </c>
      <c r="J140" s="38" t="n">
        <v>22</v>
      </c>
      <c r="K140" s="47" t="n">
        <v>1</v>
      </c>
      <c r="L140" s="47" t="n">
        <v>1</v>
      </c>
      <c r="M140" s="47" t="n">
        <v>1</v>
      </c>
      <c r="N140" s="47" t="n">
        <v>1</v>
      </c>
      <c r="O140" s="40" t="n">
        <v>1</v>
      </c>
      <c r="P140" s="41" t="n">
        <v>1</v>
      </c>
      <c r="Q140" s="42" t="n">
        <v>4</v>
      </c>
      <c r="R140" s="42" t="n">
        <v>1</v>
      </c>
      <c r="S140" s="42" t="n">
        <v>5</v>
      </c>
      <c r="T140" s="42" t="n">
        <v>2</v>
      </c>
      <c r="U140" s="43" t="n">
        <v>0</v>
      </c>
      <c r="V140" s="43" t="n">
        <v>0</v>
      </c>
      <c r="W140" s="44" t="n">
        <v>0</v>
      </c>
      <c r="X140" s="44" t="n">
        <v>0</v>
      </c>
      <c r="Y140" s="43" t="n">
        <v>0</v>
      </c>
      <c r="Z140" s="43" t="n">
        <v>0</v>
      </c>
      <c r="AA140" s="44" t="n">
        <v>0</v>
      </c>
      <c r="AB140" s="44" t="n">
        <v>0</v>
      </c>
      <c r="AC140" s="43" t="n">
        <v>0</v>
      </c>
      <c r="AD140" s="43" t="n">
        <v>0</v>
      </c>
      <c r="AE140" s="44" t="n">
        <v>0</v>
      </c>
      <c r="AF140" s="44" t="n">
        <v>0</v>
      </c>
      <c r="AG140" s="43" t="n">
        <v>0</v>
      </c>
      <c r="AH140" s="43" t="n">
        <v>0</v>
      </c>
      <c r="AI140" s="43" t="n">
        <v>0</v>
      </c>
      <c r="AJ140" s="44"/>
      <c r="AK140" s="43" t="n">
        <v>0</v>
      </c>
      <c r="AL140" s="43" t="n">
        <v>0</v>
      </c>
      <c r="AM140" s="45" t="n">
        <v>0.7</v>
      </c>
      <c r="AN140" s="45" t="n">
        <v>0.3</v>
      </c>
      <c r="AO140" s="45" t="n">
        <v>1</v>
      </c>
      <c r="AP140" s="46" t="n">
        <v>1200</v>
      </c>
      <c r="AQ140" s="46" t="n">
        <v>1200</v>
      </c>
    </row>
    <row r="141" customFormat="false" ht="14.25" hidden="false" customHeight="false" outlineLevel="0" collapsed="false">
      <c r="A141" s="51" t="s">
        <v>291</v>
      </c>
      <c r="B141" s="33" t="n">
        <v>45973</v>
      </c>
      <c r="C141" s="34" t="s">
        <v>171</v>
      </c>
      <c r="D141" s="35" t="s">
        <v>186</v>
      </c>
      <c r="E141" s="35" t="s">
        <v>27</v>
      </c>
      <c r="F141" s="48" t="s">
        <v>208</v>
      </c>
      <c r="G141" s="37" t="s">
        <v>188</v>
      </c>
      <c r="H141" s="35" t="s">
        <v>112</v>
      </c>
      <c r="I141" s="35" t="s">
        <v>112</v>
      </c>
      <c r="J141" s="38" t="n">
        <v>22</v>
      </c>
      <c r="K141" s="47" t="n">
        <v>1</v>
      </c>
      <c r="L141" s="47" t="n">
        <v>1</v>
      </c>
      <c r="M141" s="47" t="n">
        <v>1</v>
      </c>
      <c r="N141" s="47" t="n">
        <v>1</v>
      </c>
      <c r="O141" s="40" t="n">
        <v>1</v>
      </c>
      <c r="P141" s="41" t="n">
        <v>1</v>
      </c>
      <c r="Q141" s="42" t="n">
        <v>4</v>
      </c>
      <c r="R141" s="42" t="n">
        <v>1</v>
      </c>
      <c r="S141" s="42" t="n">
        <v>5</v>
      </c>
      <c r="T141" s="42" t="n">
        <v>2</v>
      </c>
      <c r="U141" s="43" t="n">
        <v>0</v>
      </c>
      <c r="V141" s="43" t="n">
        <v>0</v>
      </c>
      <c r="W141" s="44" t="n">
        <v>0</v>
      </c>
      <c r="X141" s="44" t="n">
        <v>0</v>
      </c>
      <c r="Y141" s="43" t="n">
        <v>0</v>
      </c>
      <c r="Z141" s="43" t="n">
        <v>0</v>
      </c>
      <c r="AA141" s="44" t="n">
        <v>0</v>
      </c>
      <c r="AB141" s="44" t="n">
        <v>0</v>
      </c>
      <c r="AC141" s="43" t="n">
        <v>0</v>
      </c>
      <c r="AD141" s="43" t="n">
        <v>0</v>
      </c>
      <c r="AE141" s="44" t="n">
        <v>0</v>
      </c>
      <c r="AF141" s="44" t="n">
        <v>0</v>
      </c>
      <c r="AG141" s="43" t="n">
        <v>1</v>
      </c>
      <c r="AH141" s="43" t="n">
        <v>0</v>
      </c>
      <c r="AI141" s="43" t="n">
        <v>0</v>
      </c>
      <c r="AJ141" s="44"/>
      <c r="AK141" s="43" t="n">
        <v>0</v>
      </c>
      <c r="AL141" s="43" t="n">
        <v>1</v>
      </c>
      <c r="AM141" s="45" t="n">
        <v>0.7</v>
      </c>
      <c r="AN141" s="45" t="n">
        <v>0.3</v>
      </c>
      <c r="AO141" s="45" t="n">
        <v>1</v>
      </c>
      <c r="AP141" s="46" t="n">
        <v>1200</v>
      </c>
      <c r="AQ141" s="46" t="n">
        <v>1200</v>
      </c>
    </row>
    <row r="142" customFormat="false" ht="14.25" hidden="false" customHeight="false" outlineLevel="0" collapsed="false">
      <c r="A142" s="51" t="s">
        <v>292</v>
      </c>
      <c r="B142" s="33" t="n">
        <v>46097</v>
      </c>
      <c r="C142" s="34" t="s">
        <v>219</v>
      </c>
      <c r="D142" s="35" t="s">
        <v>186</v>
      </c>
      <c r="E142" s="35" t="s">
        <v>27</v>
      </c>
      <c r="F142" s="48" t="s">
        <v>187</v>
      </c>
      <c r="G142" s="37" t="s">
        <v>188</v>
      </c>
      <c r="H142" s="35" t="s">
        <v>112</v>
      </c>
      <c r="I142" s="35" t="s">
        <v>112</v>
      </c>
      <c r="J142" s="38" t="n">
        <v>22</v>
      </c>
      <c r="K142" s="47" t="n">
        <v>1</v>
      </c>
      <c r="L142" s="47" t="n">
        <v>1</v>
      </c>
      <c r="M142" s="47" t="n">
        <v>1</v>
      </c>
      <c r="N142" s="47" t="n">
        <v>1</v>
      </c>
      <c r="O142" s="40" t="n">
        <v>1</v>
      </c>
      <c r="P142" s="41" t="n">
        <v>1</v>
      </c>
      <c r="Q142" s="42" t="n">
        <v>4</v>
      </c>
      <c r="R142" s="42" t="n">
        <v>1</v>
      </c>
      <c r="S142" s="42" t="n">
        <v>5</v>
      </c>
      <c r="T142" s="42" t="n">
        <v>2</v>
      </c>
      <c r="U142" s="43" t="n">
        <v>0</v>
      </c>
      <c r="V142" s="43" t="n">
        <v>0</v>
      </c>
      <c r="W142" s="44" t="n">
        <v>0</v>
      </c>
      <c r="X142" s="44" t="n">
        <v>0</v>
      </c>
      <c r="Y142" s="43" t="n">
        <v>0</v>
      </c>
      <c r="Z142" s="43" t="n">
        <v>0</v>
      </c>
      <c r="AA142" s="44" t="n">
        <v>0</v>
      </c>
      <c r="AB142" s="44" t="n">
        <v>0</v>
      </c>
      <c r="AC142" s="43" t="n">
        <v>0</v>
      </c>
      <c r="AD142" s="43" t="n">
        <v>0</v>
      </c>
      <c r="AE142" s="44" t="n">
        <v>0</v>
      </c>
      <c r="AF142" s="44" t="n">
        <v>0</v>
      </c>
      <c r="AG142" s="43" t="n">
        <v>0</v>
      </c>
      <c r="AH142" s="43" t="n">
        <v>0</v>
      </c>
      <c r="AI142" s="43" t="n">
        <v>0</v>
      </c>
      <c r="AJ142" s="44"/>
      <c r="AK142" s="43" t="n">
        <v>0</v>
      </c>
      <c r="AL142" s="43" t="n">
        <v>0</v>
      </c>
      <c r="AM142" s="45" t="n">
        <v>0.7</v>
      </c>
      <c r="AN142" s="45" t="n">
        <v>0.3</v>
      </c>
      <c r="AO142" s="45" t="n">
        <v>1</v>
      </c>
      <c r="AP142" s="46" t="n">
        <v>1200</v>
      </c>
      <c r="AQ142" s="46" t="n">
        <v>1200</v>
      </c>
    </row>
    <row r="143" customFormat="false" ht="14.25" hidden="false" customHeight="false" outlineLevel="0" collapsed="false">
      <c r="A143" s="51" t="s">
        <v>293</v>
      </c>
      <c r="B143" s="33" t="n">
        <v>46113</v>
      </c>
      <c r="C143" s="34" t="s">
        <v>140</v>
      </c>
      <c r="D143" s="35" t="s">
        <v>186</v>
      </c>
      <c r="E143" s="35" t="s">
        <v>30</v>
      </c>
      <c r="F143" s="48" t="s">
        <v>213</v>
      </c>
      <c r="G143" s="52" t="s">
        <v>214</v>
      </c>
      <c r="H143" s="35" t="s">
        <v>112</v>
      </c>
      <c r="I143" s="35" t="s">
        <v>112</v>
      </c>
      <c r="J143" s="38" t="n">
        <v>22</v>
      </c>
      <c r="K143" s="47" t="n">
        <v>1</v>
      </c>
      <c r="L143" s="47" t="n">
        <v>1</v>
      </c>
      <c r="M143" s="47" t="n">
        <v>1</v>
      </c>
      <c r="N143" s="47" t="n">
        <v>1</v>
      </c>
      <c r="O143" s="40" t="n">
        <v>1</v>
      </c>
      <c r="P143" s="41" t="n">
        <v>1</v>
      </c>
      <c r="Q143" s="42" t="n">
        <v>6</v>
      </c>
      <c r="R143" s="42" t="n">
        <v>0</v>
      </c>
      <c r="S143" s="42" t="n">
        <v>6</v>
      </c>
      <c r="T143" s="42" t="n">
        <v>9</v>
      </c>
      <c r="U143" s="43" t="n">
        <v>1</v>
      </c>
      <c r="V143" s="43" t="n">
        <v>1</v>
      </c>
      <c r="W143" s="44" t="n">
        <v>1</v>
      </c>
      <c r="X143" s="44" t="n">
        <v>1</v>
      </c>
      <c r="Y143" s="43" t="n">
        <v>0</v>
      </c>
      <c r="Z143" s="43" t="n">
        <v>0</v>
      </c>
      <c r="AA143" s="44" t="n">
        <v>0</v>
      </c>
      <c r="AB143" s="44" t="n">
        <v>0</v>
      </c>
      <c r="AC143" s="43" t="n">
        <v>0</v>
      </c>
      <c r="AD143" s="43" t="n">
        <v>0</v>
      </c>
      <c r="AE143" s="44" t="n">
        <v>0</v>
      </c>
      <c r="AF143" s="44" t="n">
        <v>0</v>
      </c>
      <c r="AG143" s="43" t="n">
        <v>0</v>
      </c>
      <c r="AH143" s="43" t="n">
        <v>0</v>
      </c>
      <c r="AI143" s="43" t="n">
        <v>0</v>
      </c>
      <c r="AJ143" s="44"/>
      <c r="AK143" s="43" t="n">
        <v>0</v>
      </c>
      <c r="AL143" s="43" t="n">
        <v>4</v>
      </c>
      <c r="AM143" s="45" t="n">
        <v>0.7</v>
      </c>
      <c r="AN143" s="45" t="n">
        <v>0.3</v>
      </c>
      <c r="AO143" s="45" t="n">
        <v>1</v>
      </c>
      <c r="AP143" s="46" t="n">
        <v>1200</v>
      </c>
      <c r="AQ143" s="46" t="n">
        <v>1200</v>
      </c>
    </row>
    <row r="144" customFormat="false" ht="14.25" hidden="false" customHeight="false" outlineLevel="0" collapsed="false">
      <c r="A144" s="51" t="s">
        <v>294</v>
      </c>
      <c r="B144" s="33" t="n">
        <v>45033</v>
      </c>
      <c r="C144" s="34" t="s">
        <v>108</v>
      </c>
      <c r="D144" s="35" t="s">
        <v>186</v>
      </c>
      <c r="E144" s="35" t="s">
        <v>30</v>
      </c>
      <c r="F144" s="48" t="s">
        <v>213</v>
      </c>
      <c r="G144" s="52" t="s">
        <v>214</v>
      </c>
      <c r="H144" s="35" t="s">
        <v>112</v>
      </c>
      <c r="I144" s="35" t="s">
        <v>112</v>
      </c>
      <c r="J144" s="38" t="n">
        <v>16.5</v>
      </c>
      <c r="K144" s="47" t="n">
        <v>1</v>
      </c>
      <c r="L144" s="47" t="n">
        <v>1</v>
      </c>
      <c r="M144" s="47" t="n">
        <v>1</v>
      </c>
      <c r="N144" s="47" t="n">
        <v>0</v>
      </c>
      <c r="O144" s="40" t="n">
        <v>0.75</v>
      </c>
      <c r="P144" s="41" t="n">
        <v>0.75</v>
      </c>
      <c r="Q144" s="42" t="n">
        <v>5</v>
      </c>
      <c r="R144" s="42" t="n">
        <v>0</v>
      </c>
      <c r="S144" s="42" t="n">
        <v>5</v>
      </c>
      <c r="T144" s="42" t="n">
        <v>3</v>
      </c>
      <c r="U144" s="43" t="n">
        <v>0</v>
      </c>
      <c r="V144" s="43" t="n">
        <v>0</v>
      </c>
      <c r="W144" s="44" t="n">
        <v>0</v>
      </c>
      <c r="X144" s="44" t="n">
        <v>0</v>
      </c>
      <c r="Y144" s="43" t="n">
        <v>0</v>
      </c>
      <c r="Z144" s="43" t="n">
        <v>0</v>
      </c>
      <c r="AA144" s="44" t="n">
        <v>0</v>
      </c>
      <c r="AB144" s="44" t="n">
        <v>0</v>
      </c>
      <c r="AC144" s="43" t="n">
        <v>0</v>
      </c>
      <c r="AD144" s="43" t="n">
        <v>0</v>
      </c>
      <c r="AE144" s="44" t="n">
        <v>0</v>
      </c>
      <c r="AF144" s="44" t="n">
        <v>0</v>
      </c>
      <c r="AG144" s="43" t="n">
        <v>0</v>
      </c>
      <c r="AH144" s="43" t="n">
        <v>1</v>
      </c>
      <c r="AI144" s="43" t="n">
        <v>1</v>
      </c>
      <c r="AJ144" s="44"/>
      <c r="AK144" s="43" t="n">
        <v>0</v>
      </c>
      <c r="AL144" s="43" t="n">
        <v>0</v>
      </c>
      <c r="AM144" s="45" t="n">
        <v>0.7</v>
      </c>
      <c r="AN144" s="45" t="n">
        <v>0.3</v>
      </c>
      <c r="AO144" s="45" t="n">
        <v>0.75</v>
      </c>
      <c r="AP144" s="46" t="n">
        <v>1200</v>
      </c>
      <c r="AQ144" s="46" t="n">
        <v>900</v>
      </c>
    </row>
    <row r="145" customFormat="false" ht="14.25" hidden="false" customHeight="false" outlineLevel="0" collapsed="false">
      <c r="A145" s="51" t="s">
        <v>295</v>
      </c>
      <c r="B145" s="33" t="n">
        <v>46064</v>
      </c>
      <c r="C145" s="34" t="s">
        <v>134</v>
      </c>
      <c r="D145" s="35" t="s">
        <v>186</v>
      </c>
      <c r="E145" s="35" t="s">
        <v>30</v>
      </c>
      <c r="F145" s="48" t="s">
        <v>213</v>
      </c>
      <c r="G145" s="52" t="s">
        <v>214</v>
      </c>
      <c r="H145" s="35" t="s">
        <v>112</v>
      </c>
      <c r="I145" s="35" t="s">
        <v>112</v>
      </c>
      <c r="J145" s="38" t="n">
        <v>22</v>
      </c>
      <c r="K145" s="47" t="n">
        <v>1</v>
      </c>
      <c r="L145" s="47" t="n">
        <v>1</v>
      </c>
      <c r="M145" s="47" t="n">
        <v>1</v>
      </c>
      <c r="N145" s="47" t="n">
        <v>1</v>
      </c>
      <c r="O145" s="40" t="n">
        <v>1</v>
      </c>
      <c r="P145" s="41" t="n">
        <v>1</v>
      </c>
      <c r="Q145" s="42" t="n">
        <v>6</v>
      </c>
      <c r="R145" s="42" t="n">
        <v>0</v>
      </c>
      <c r="S145" s="42" t="n">
        <v>6</v>
      </c>
      <c r="T145" s="42" t="n">
        <v>4</v>
      </c>
      <c r="U145" s="43" t="n">
        <v>0</v>
      </c>
      <c r="V145" s="43" t="n">
        <v>0</v>
      </c>
      <c r="W145" s="44" t="n">
        <v>0</v>
      </c>
      <c r="X145" s="44" t="n">
        <v>0</v>
      </c>
      <c r="Y145" s="43" t="n">
        <v>0</v>
      </c>
      <c r="Z145" s="43" t="n">
        <v>0</v>
      </c>
      <c r="AA145" s="44" t="n">
        <v>0</v>
      </c>
      <c r="AB145" s="44" t="n">
        <v>0</v>
      </c>
      <c r="AC145" s="43" t="n">
        <v>0</v>
      </c>
      <c r="AD145" s="43" t="n">
        <v>0</v>
      </c>
      <c r="AE145" s="44" t="n">
        <v>0</v>
      </c>
      <c r="AF145" s="44" t="n">
        <v>0</v>
      </c>
      <c r="AG145" s="43" t="n">
        <v>1</v>
      </c>
      <c r="AH145" s="43" t="n">
        <v>1</v>
      </c>
      <c r="AI145" s="43" t="n">
        <v>0</v>
      </c>
      <c r="AJ145" s="44"/>
      <c r="AK145" s="43" t="n">
        <v>0</v>
      </c>
      <c r="AL145" s="43" t="n">
        <v>2</v>
      </c>
      <c r="AM145" s="45" t="n">
        <v>0.7</v>
      </c>
      <c r="AN145" s="45" t="n">
        <v>0.3</v>
      </c>
      <c r="AO145" s="45" t="n">
        <v>1</v>
      </c>
      <c r="AP145" s="46" t="n">
        <v>1200</v>
      </c>
      <c r="AQ145" s="46" t="n">
        <v>1200</v>
      </c>
    </row>
    <row r="146" customFormat="false" ht="14.25" hidden="false" customHeight="false" outlineLevel="0" collapsed="false">
      <c r="A146" s="51" t="s">
        <v>296</v>
      </c>
      <c r="B146" s="33" t="n">
        <v>45852</v>
      </c>
      <c r="C146" s="34" t="s">
        <v>108</v>
      </c>
      <c r="D146" s="35" t="s">
        <v>186</v>
      </c>
      <c r="E146" s="35" t="s">
        <v>30</v>
      </c>
      <c r="F146" s="48" t="s">
        <v>213</v>
      </c>
      <c r="G146" s="52" t="s">
        <v>214</v>
      </c>
      <c r="H146" s="35" t="s">
        <v>112</v>
      </c>
      <c r="I146" s="35" t="s">
        <v>112</v>
      </c>
      <c r="J146" s="38" t="n">
        <v>11</v>
      </c>
      <c r="K146" s="47" t="n">
        <v>0</v>
      </c>
      <c r="L146" s="47" t="n">
        <v>0</v>
      </c>
      <c r="M146" s="47" t="n">
        <v>1</v>
      </c>
      <c r="N146" s="47" t="n">
        <v>1</v>
      </c>
      <c r="O146" s="40" t="n">
        <v>0.5</v>
      </c>
      <c r="P146" s="41" t="n">
        <v>0.5</v>
      </c>
      <c r="Q146" s="42" t="n">
        <v>3</v>
      </c>
      <c r="R146" s="42" t="n">
        <v>0</v>
      </c>
      <c r="S146" s="42" t="n">
        <v>3</v>
      </c>
      <c r="T146" s="42" t="n">
        <v>1</v>
      </c>
      <c r="U146" s="43" t="n">
        <v>0</v>
      </c>
      <c r="V146" s="43" t="n">
        <v>0</v>
      </c>
      <c r="W146" s="44" t="n">
        <v>0</v>
      </c>
      <c r="X146" s="44" t="n">
        <v>0</v>
      </c>
      <c r="Y146" s="43" t="n">
        <v>0</v>
      </c>
      <c r="Z146" s="43" t="n">
        <v>0</v>
      </c>
      <c r="AA146" s="44" t="n">
        <v>0</v>
      </c>
      <c r="AB146" s="44" t="n">
        <v>0</v>
      </c>
      <c r="AC146" s="43" t="n">
        <v>0</v>
      </c>
      <c r="AD146" s="43" t="n">
        <v>0</v>
      </c>
      <c r="AE146" s="44" t="n">
        <v>0</v>
      </c>
      <c r="AF146" s="44" t="n">
        <v>0</v>
      </c>
      <c r="AG146" s="43" t="n">
        <v>0</v>
      </c>
      <c r="AH146" s="43" t="n">
        <v>0</v>
      </c>
      <c r="AI146" s="43" t="n">
        <v>0</v>
      </c>
      <c r="AJ146" s="44"/>
      <c r="AK146" s="43" t="n">
        <v>0</v>
      </c>
      <c r="AL146" s="43" t="n">
        <v>0</v>
      </c>
      <c r="AM146" s="45" t="n">
        <v>0.7</v>
      </c>
      <c r="AN146" s="45" t="n">
        <v>0.3</v>
      </c>
      <c r="AO146" s="45" t="n">
        <v>0.5</v>
      </c>
      <c r="AP146" s="46" t="n">
        <v>1200</v>
      </c>
      <c r="AQ146" s="46" t="n">
        <v>600</v>
      </c>
    </row>
    <row r="147" customFormat="false" ht="14.25" hidden="false" customHeight="false" outlineLevel="0" collapsed="false">
      <c r="A147" s="51" t="s">
        <v>297</v>
      </c>
      <c r="B147" s="33" t="n">
        <v>46027</v>
      </c>
      <c r="C147" s="34" t="s">
        <v>173</v>
      </c>
      <c r="D147" s="35" t="s">
        <v>186</v>
      </c>
      <c r="E147" s="35" t="s">
        <v>30</v>
      </c>
      <c r="F147" s="48" t="s">
        <v>213</v>
      </c>
      <c r="G147" s="52" t="s">
        <v>214</v>
      </c>
      <c r="H147" s="35" t="s">
        <v>112</v>
      </c>
      <c r="I147" s="35" t="s">
        <v>112</v>
      </c>
      <c r="J147" s="38" t="n">
        <v>22</v>
      </c>
      <c r="K147" s="47" t="n">
        <v>1</v>
      </c>
      <c r="L147" s="47" t="n">
        <v>1</v>
      </c>
      <c r="M147" s="47" t="n">
        <v>1</v>
      </c>
      <c r="N147" s="47" t="n">
        <v>1</v>
      </c>
      <c r="O147" s="40" t="n">
        <v>1</v>
      </c>
      <c r="P147" s="41" t="n">
        <v>1</v>
      </c>
      <c r="Q147" s="42" t="n">
        <v>6</v>
      </c>
      <c r="R147" s="42" t="n">
        <v>0</v>
      </c>
      <c r="S147" s="42" t="n">
        <v>6</v>
      </c>
      <c r="T147" s="42" t="n">
        <v>3</v>
      </c>
      <c r="U147" s="43" t="n">
        <v>0</v>
      </c>
      <c r="V147" s="43" t="n">
        <v>0</v>
      </c>
      <c r="W147" s="44" t="n">
        <v>0</v>
      </c>
      <c r="X147" s="44" t="n">
        <v>0</v>
      </c>
      <c r="Y147" s="43" t="n">
        <v>0</v>
      </c>
      <c r="Z147" s="43" t="n">
        <v>0</v>
      </c>
      <c r="AA147" s="44" t="n">
        <v>0</v>
      </c>
      <c r="AB147" s="44" t="n">
        <v>0</v>
      </c>
      <c r="AC147" s="43" t="n">
        <v>0</v>
      </c>
      <c r="AD147" s="43" t="n">
        <v>0</v>
      </c>
      <c r="AE147" s="44" t="n">
        <v>0</v>
      </c>
      <c r="AF147" s="44" t="n">
        <v>0</v>
      </c>
      <c r="AG147" s="43" t="n">
        <v>1</v>
      </c>
      <c r="AH147" s="43" t="n">
        <v>0</v>
      </c>
      <c r="AI147" s="43" t="n">
        <v>0</v>
      </c>
      <c r="AJ147" s="44"/>
      <c r="AK147" s="43" t="n">
        <v>0</v>
      </c>
      <c r="AL147" s="43" t="n">
        <v>0</v>
      </c>
      <c r="AM147" s="45" t="n">
        <v>0.7</v>
      </c>
      <c r="AN147" s="45" t="n">
        <v>0.3</v>
      </c>
      <c r="AO147" s="45" t="n">
        <v>1</v>
      </c>
      <c r="AP147" s="46" t="n">
        <v>1200</v>
      </c>
      <c r="AQ147" s="46" t="n">
        <v>1200</v>
      </c>
    </row>
    <row r="148" customFormat="false" ht="14.25" hidden="false" customHeight="false" outlineLevel="0" collapsed="false">
      <c r="A148" s="51" t="s">
        <v>298</v>
      </c>
      <c r="B148" s="33" t="n">
        <v>45943</v>
      </c>
      <c r="C148" s="34" t="s">
        <v>299</v>
      </c>
      <c r="D148" s="35" t="s">
        <v>186</v>
      </c>
      <c r="E148" s="35" t="s">
        <v>30</v>
      </c>
      <c r="F148" s="48" t="s">
        <v>213</v>
      </c>
      <c r="G148" s="52" t="s">
        <v>214</v>
      </c>
      <c r="H148" s="35" t="s">
        <v>112</v>
      </c>
      <c r="I148" s="35" t="s">
        <v>112</v>
      </c>
      <c r="J148" s="38" t="n">
        <v>22</v>
      </c>
      <c r="K148" s="47" t="n">
        <v>1</v>
      </c>
      <c r="L148" s="47" t="n">
        <v>1</v>
      </c>
      <c r="M148" s="47" t="n">
        <v>1</v>
      </c>
      <c r="N148" s="47" t="n">
        <v>1</v>
      </c>
      <c r="O148" s="40" t="n">
        <v>1</v>
      </c>
      <c r="P148" s="41" t="n">
        <v>1</v>
      </c>
      <c r="Q148" s="42" t="n">
        <v>6</v>
      </c>
      <c r="R148" s="42" t="n">
        <v>0</v>
      </c>
      <c r="S148" s="42" t="n">
        <v>6</v>
      </c>
      <c r="T148" s="42" t="n">
        <v>4</v>
      </c>
      <c r="U148" s="43" t="n">
        <v>0</v>
      </c>
      <c r="V148" s="43" t="n">
        <v>0</v>
      </c>
      <c r="W148" s="44" t="n">
        <v>0</v>
      </c>
      <c r="X148" s="44" t="n">
        <v>0</v>
      </c>
      <c r="Y148" s="43" t="n">
        <v>0</v>
      </c>
      <c r="Z148" s="43" t="n">
        <v>0</v>
      </c>
      <c r="AA148" s="44" t="n">
        <v>0</v>
      </c>
      <c r="AB148" s="44" t="n">
        <v>0</v>
      </c>
      <c r="AC148" s="43" t="n">
        <v>0</v>
      </c>
      <c r="AD148" s="43" t="n">
        <v>0</v>
      </c>
      <c r="AE148" s="44" t="n">
        <v>0</v>
      </c>
      <c r="AF148" s="44" t="n">
        <v>0</v>
      </c>
      <c r="AG148" s="43" t="n">
        <v>2</v>
      </c>
      <c r="AH148" s="43" t="n">
        <v>0</v>
      </c>
      <c r="AI148" s="43" t="n">
        <v>0</v>
      </c>
      <c r="AJ148" s="44"/>
      <c r="AK148" s="43" t="n">
        <v>0</v>
      </c>
      <c r="AL148" s="43" t="n">
        <v>1</v>
      </c>
      <c r="AM148" s="45" t="n">
        <v>0.7</v>
      </c>
      <c r="AN148" s="45" t="n">
        <v>0.3</v>
      </c>
      <c r="AO148" s="45" t="n">
        <v>1</v>
      </c>
      <c r="AP148" s="46" t="n">
        <v>1200</v>
      </c>
      <c r="AQ148" s="46" t="n">
        <v>1200</v>
      </c>
    </row>
    <row r="149" customFormat="false" ht="14.25" hidden="false" customHeight="false" outlineLevel="0" collapsed="false">
      <c r="A149" s="51" t="s">
        <v>300</v>
      </c>
      <c r="B149" s="33" t="n">
        <v>46113</v>
      </c>
      <c r="C149" s="34" t="s">
        <v>140</v>
      </c>
      <c r="D149" s="35" t="s">
        <v>186</v>
      </c>
      <c r="E149" s="35" t="s">
        <v>30</v>
      </c>
      <c r="F149" s="48" t="s">
        <v>213</v>
      </c>
      <c r="G149" s="52" t="s">
        <v>214</v>
      </c>
      <c r="H149" s="35" t="s">
        <v>112</v>
      </c>
      <c r="I149" s="35" t="s">
        <v>112</v>
      </c>
      <c r="J149" s="38" t="n">
        <v>22</v>
      </c>
      <c r="K149" s="47" t="n">
        <v>1</v>
      </c>
      <c r="L149" s="47" t="n">
        <v>1</v>
      </c>
      <c r="M149" s="47" t="n">
        <v>1</v>
      </c>
      <c r="N149" s="47" t="n">
        <v>1</v>
      </c>
      <c r="O149" s="40" t="n">
        <v>1</v>
      </c>
      <c r="P149" s="41" t="n">
        <v>1</v>
      </c>
      <c r="Q149" s="42" t="n">
        <v>6</v>
      </c>
      <c r="R149" s="42" t="n">
        <v>0</v>
      </c>
      <c r="S149" s="42" t="n">
        <v>6</v>
      </c>
      <c r="T149" s="42" t="n">
        <v>11</v>
      </c>
      <c r="U149" s="43" t="n">
        <v>0</v>
      </c>
      <c r="V149" s="43" t="n">
        <v>0</v>
      </c>
      <c r="W149" s="44" t="n">
        <v>0</v>
      </c>
      <c r="X149" s="44" t="n">
        <v>0</v>
      </c>
      <c r="Y149" s="43" t="n">
        <v>0</v>
      </c>
      <c r="Z149" s="43" t="n">
        <v>0</v>
      </c>
      <c r="AA149" s="44" t="n">
        <v>0</v>
      </c>
      <c r="AB149" s="44" t="n">
        <v>0</v>
      </c>
      <c r="AC149" s="43" t="n">
        <v>0</v>
      </c>
      <c r="AD149" s="43" t="n">
        <v>1</v>
      </c>
      <c r="AE149" s="44" t="n">
        <v>1</v>
      </c>
      <c r="AF149" s="44" t="n">
        <v>2</v>
      </c>
      <c r="AG149" s="43" t="n">
        <v>0</v>
      </c>
      <c r="AH149" s="43" t="n">
        <v>0</v>
      </c>
      <c r="AI149" s="43" t="n">
        <v>0</v>
      </c>
      <c r="AJ149" s="44"/>
      <c r="AK149" s="43" t="n">
        <v>0</v>
      </c>
      <c r="AL149" s="43" t="n">
        <v>4</v>
      </c>
      <c r="AM149" s="45" t="n">
        <v>0.7</v>
      </c>
      <c r="AN149" s="45" t="n">
        <v>0.3</v>
      </c>
      <c r="AO149" s="45" t="n">
        <v>1</v>
      </c>
      <c r="AP149" s="46" t="n">
        <v>1200</v>
      </c>
      <c r="AQ149" s="46" t="n">
        <v>1200</v>
      </c>
    </row>
    <row r="150" customFormat="false" ht="14.25" hidden="false" customHeight="false" outlineLevel="0" collapsed="false">
      <c r="A150" s="51" t="s">
        <v>301</v>
      </c>
      <c r="B150" s="33" t="n">
        <v>46160</v>
      </c>
      <c r="C150" s="34" t="s">
        <v>126</v>
      </c>
      <c r="D150" s="35" t="s">
        <v>186</v>
      </c>
      <c r="E150" s="35" t="s">
        <v>30</v>
      </c>
      <c r="F150" s="48" t="s">
        <v>213</v>
      </c>
      <c r="G150" s="52" t="s">
        <v>214</v>
      </c>
      <c r="H150" s="35" t="s">
        <v>112</v>
      </c>
      <c r="I150" s="35" t="s">
        <v>112</v>
      </c>
      <c r="J150" s="38" t="n">
        <v>22</v>
      </c>
      <c r="K150" s="47" t="n">
        <v>1</v>
      </c>
      <c r="L150" s="47" t="n">
        <v>1</v>
      </c>
      <c r="M150" s="47" t="n">
        <v>1</v>
      </c>
      <c r="N150" s="47" t="n">
        <v>1</v>
      </c>
      <c r="O150" s="40" t="n">
        <v>1</v>
      </c>
      <c r="P150" s="41" t="n">
        <v>1</v>
      </c>
      <c r="Q150" s="42" t="n">
        <v>6</v>
      </c>
      <c r="R150" s="42" t="n">
        <v>0</v>
      </c>
      <c r="S150" s="42" t="n">
        <v>6</v>
      </c>
      <c r="T150" s="42" t="n">
        <v>14</v>
      </c>
      <c r="U150" s="43" t="n">
        <v>1</v>
      </c>
      <c r="V150" s="43" t="n">
        <v>1</v>
      </c>
      <c r="W150" s="44" t="n">
        <v>1</v>
      </c>
      <c r="X150" s="44" t="n">
        <v>1</v>
      </c>
      <c r="Y150" s="43" t="n">
        <v>0</v>
      </c>
      <c r="Z150" s="43" t="n">
        <v>0</v>
      </c>
      <c r="AA150" s="44" t="n">
        <v>0</v>
      </c>
      <c r="AB150" s="44" t="n">
        <v>0</v>
      </c>
      <c r="AC150" s="43" t="n">
        <v>0</v>
      </c>
      <c r="AD150" s="43" t="n">
        <v>0</v>
      </c>
      <c r="AE150" s="44" t="n">
        <v>0</v>
      </c>
      <c r="AF150" s="44" t="n">
        <v>0</v>
      </c>
      <c r="AG150" s="43" t="n">
        <v>0</v>
      </c>
      <c r="AH150" s="43" t="n">
        <v>0</v>
      </c>
      <c r="AI150" s="43" t="n">
        <v>0</v>
      </c>
      <c r="AJ150" s="44"/>
      <c r="AK150" s="43" t="n">
        <v>0</v>
      </c>
      <c r="AL150" s="43" t="n">
        <v>4</v>
      </c>
      <c r="AM150" s="45" t="n">
        <v>0.7</v>
      </c>
      <c r="AN150" s="45" t="n">
        <v>0.3</v>
      </c>
      <c r="AO150" s="45" t="n">
        <v>1</v>
      </c>
      <c r="AP150" s="46" t="n">
        <v>1200</v>
      </c>
      <c r="AQ150" s="46" t="n">
        <v>1200</v>
      </c>
    </row>
    <row r="151" customFormat="false" ht="14.25" hidden="false" customHeight="false" outlineLevel="0" collapsed="false">
      <c r="A151" s="51" t="s">
        <v>302</v>
      </c>
      <c r="B151" s="33" t="n">
        <v>46027</v>
      </c>
      <c r="C151" s="34" t="s">
        <v>173</v>
      </c>
      <c r="D151" s="35" t="s">
        <v>186</v>
      </c>
      <c r="E151" s="35" t="s">
        <v>30</v>
      </c>
      <c r="F151" s="48" t="s">
        <v>213</v>
      </c>
      <c r="G151" s="52" t="s">
        <v>214</v>
      </c>
      <c r="H151" s="35" t="s">
        <v>112</v>
      </c>
      <c r="I151" s="35" t="s">
        <v>112</v>
      </c>
      <c r="J151" s="38" t="n">
        <v>22</v>
      </c>
      <c r="K151" s="47" t="n">
        <v>1</v>
      </c>
      <c r="L151" s="47" t="n">
        <v>1</v>
      </c>
      <c r="M151" s="47" t="n">
        <v>1</v>
      </c>
      <c r="N151" s="47" t="n">
        <v>1</v>
      </c>
      <c r="O151" s="40" t="n">
        <v>1</v>
      </c>
      <c r="P151" s="41" t="n">
        <v>1</v>
      </c>
      <c r="Q151" s="42" t="n">
        <v>6</v>
      </c>
      <c r="R151" s="42" t="n">
        <v>0</v>
      </c>
      <c r="S151" s="42" t="n">
        <v>6</v>
      </c>
      <c r="T151" s="42" t="n">
        <v>11</v>
      </c>
      <c r="U151" s="43" t="n">
        <v>2</v>
      </c>
      <c r="V151" s="43" t="n">
        <v>2</v>
      </c>
      <c r="W151" s="44" t="n">
        <v>2</v>
      </c>
      <c r="X151" s="44" t="n">
        <v>3</v>
      </c>
      <c r="Y151" s="43" t="n">
        <v>0</v>
      </c>
      <c r="Z151" s="43" t="n">
        <v>0</v>
      </c>
      <c r="AA151" s="44" t="n">
        <v>0</v>
      </c>
      <c r="AB151" s="44" t="n">
        <v>0</v>
      </c>
      <c r="AC151" s="43" t="n">
        <v>0</v>
      </c>
      <c r="AD151" s="43" t="n">
        <v>0</v>
      </c>
      <c r="AE151" s="44" t="n">
        <v>0</v>
      </c>
      <c r="AF151" s="44" t="n">
        <v>0</v>
      </c>
      <c r="AG151" s="43" t="n">
        <v>0</v>
      </c>
      <c r="AH151" s="43" t="n">
        <v>0</v>
      </c>
      <c r="AI151" s="43" t="n">
        <v>0</v>
      </c>
      <c r="AJ151" s="44"/>
      <c r="AK151" s="43" t="n">
        <v>0</v>
      </c>
      <c r="AL151" s="43" t="n">
        <v>9</v>
      </c>
      <c r="AM151" s="45" t="n">
        <v>0.7</v>
      </c>
      <c r="AN151" s="45" t="n">
        <v>0.3</v>
      </c>
      <c r="AO151" s="45" t="n">
        <v>1</v>
      </c>
      <c r="AP151" s="46" t="n">
        <v>1200</v>
      </c>
      <c r="AQ151" s="46" t="n">
        <v>1200</v>
      </c>
    </row>
    <row r="152" customFormat="false" ht="14.25" hidden="false" customHeight="false" outlineLevel="0" collapsed="false">
      <c r="A152" s="51" t="s">
        <v>303</v>
      </c>
      <c r="B152" s="33" t="n">
        <v>46113</v>
      </c>
      <c r="C152" s="34" t="s">
        <v>140</v>
      </c>
      <c r="D152" s="35" t="s">
        <v>186</v>
      </c>
      <c r="E152" s="35" t="s">
        <v>30</v>
      </c>
      <c r="F152" s="48" t="s">
        <v>213</v>
      </c>
      <c r="G152" s="52" t="s">
        <v>214</v>
      </c>
      <c r="H152" s="35" t="s">
        <v>112</v>
      </c>
      <c r="I152" s="35" t="s">
        <v>112</v>
      </c>
      <c r="J152" s="38" t="n">
        <v>22</v>
      </c>
      <c r="K152" s="47" t="n">
        <v>1</v>
      </c>
      <c r="L152" s="47" t="n">
        <v>1</v>
      </c>
      <c r="M152" s="47" t="n">
        <v>1</v>
      </c>
      <c r="N152" s="47" t="n">
        <v>1</v>
      </c>
      <c r="O152" s="40" t="n">
        <v>1</v>
      </c>
      <c r="P152" s="41" t="n">
        <v>1</v>
      </c>
      <c r="Q152" s="42" t="n">
        <v>6</v>
      </c>
      <c r="R152" s="42" t="n">
        <v>0</v>
      </c>
      <c r="S152" s="42" t="n">
        <v>6</v>
      </c>
      <c r="T152" s="42" t="n">
        <v>10</v>
      </c>
      <c r="U152" s="43" t="n">
        <v>0</v>
      </c>
      <c r="V152" s="43" t="n">
        <v>0</v>
      </c>
      <c r="W152" s="44" t="n">
        <v>0</v>
      </c>
      <c r="X152" s="44" t="n">
        <v>0</v>
      </c>
      <c r="Y152" s="43" t="n">
        <v>0</v>
      </c>
      <c r="Z152" s="43" t="n">
        <v>0</v>
      </c>
      <c r="AA152" s="44" t="n">
        <v>0</v>
      </c>
      <c r="AB152" s="44" t="n">
        <v>0</v>
      </c>
      <c r="AC152" s="43" t="n">
        <v>0</v>
      </c>
      <c r="AD152" s="43" t="n">
        <v>0</v>
      </c>
      <c r="AE152" s="44" t="n">
        <v>0</v>
      </c>
      <c r="AF152" s="44" t="n">
        <v>0</v>
      </c>
      <c r="AG152" s="43" t="n">
        <v>0</v>
      </c>
      <c r="AH152" s="43" t="n">
        <v>0</v>
      </c>
      <c r="AI152" s="43" t="n">
        <v>0</v>
      </c>
      <c r="AJ152" s="44"/>
      <c r="AK152" s="43" t="n">
        <v>0</v>
      </c>
      <c r="AL152" s="43" t="n">
        <v>0</v>
      </c>
      <c r="AM152" s="45" t="n">
        <v>0.7</v>
      </c>
      <c r="AN152" s="45" t="n">
        <v>0.3</v>
      </c>
      <c r="AO152" s="45" t="n">
        <v>1</v>
      </c>
      <c r="AP152" s="46" t="n">
        <v>1200</v>
      </c>
      <c r="AQ152" s="46" t="n">
        <v>1200</v>
      </c>
    </row>
    <row r="153" customFormat="false" ht="14.25" hidden="false" customHeight="false" outlineLevel="0" collapsed="false">
      <c r="A153" s="51" t="s">
        <v>304</v>
      </c>
      <c r="B153" s="33" t="n">
        <v>46146</v>
      </c>
      <c r="C153" s="34" t="s">
        <v>126</v>
      </c>
      <c r="D153" s="35" t="s">
        <v>186</v>
      </c>
      <c r="E153" s="35" t="s">
        <v>30</v>
      </c>
      <c r="F153" s="48" t="s">
        <v>213</v>
      </c>
      <c r="G153" s="52" t="s">
        <v>214</v>
      </c>
      <c r="H153" s="35" t="s">
        <v>112</v>
      </c>
      <c r="I153" s="35" t="s">
        <v>112</v>
      </c>
      <c r="J153" s="38" t="n">
        <v>22</v>
      </c>
      <c r="K153" s="47" t="n">
        <v>1</v>
      </c>
      <c r="L153" s="47" t="n">
        <v>1</v>
      </c>
      <c r="M153" s="47" t="n">
        <v>1</v>
      </c>
      <c r="N153" s="47" t="n">
        <v>1</v>
      </c>
      <c r="O153" s="40" t="n">
        <v>1</v>
      </c>
      <c r="P153" s="41" t="n">
        <v>1</v>
      </c>
      <c r="Q153" s="42" t="n">
        <v>6</v>
      </c>
      <c r="R153" s="42" t="n">
        <v>0</v>
      </c>
      <c r="S153" s="42" t="n">
        <v>6</v>
      </c>
      <c r="T153" s="42" t="n">
        <v>11</v>
      </c>
      <c r="U153" s="43" t="n">
        <v>0</v>
      </c>
      <c r="V153" s="43" t="n">
        <v>0</v>
      </c>
      <c r="W153" s="44" t="n">
        <v>0</v>
      </c>
      <c r="X153" s="44" t="n">
        <v>0</v>
      </c>
      <c r="Y153" s="43" t="n">
        <v>0</v>
      </c>
      <c r="Z153" s="43" t="n">
        <v>0</v>
      </c>
      <c r="AA153" s="44" t="n">
        <v>0</v>
      </c>
      <c r="AB153" s="44" t="n">
        <v>0</v>
      </c>
      <c r="AC153" s="43" t="n">
        <v>0</v>
      </c>
      <c r="AD153" s="43" t="n">
        <v>0</v>
      </c>
      <c r="AE153" s="44" t="n">
        <v>0</v>
      </c>
      <c r="AF153" s="44" t="n">
        <v>0</v>
      </c>
      <c r="AG153" s="43" t="n">
        <v>0</v>
      </c>
      <c r="AH153" s="43" t="n">
        <v>0</v>
      </c>
      <c r="AI153" s="43" t="n">
        <v>0</v>
      </c>
      <c r="AJ153" s="44"/>
      <c r="AK153" s="43" t="n">
        <v>0</v>
      </c>
      <c r="AL153" s="43" t="n">
        <v>0</v>
      </c>
      <c r="AM153" s="45" t="n">
        <v>0.7</v>
      </c>
      <c r="AN153" s="45" t="n">
        <v>0.3</v>
      </c>
      <c r="AO153" s="45" t="n">
        <v>1</v>
      </c>
      <c r="AP153" s="46" t="n">
        <v>1200</v>
      </c>
      <c r="AQ153" s="46" t="n">
        <v>1200</v>
      </c>
    </row>
    <row r="154" customFormat="false" ht="14.25" hidden="false" customHeight="false" outlineLevel="0" collapsed="false">
      <c r="A154" s="51" t="s">
        <v>305</v>
      </c>
      <c r="B154" s="33" t="n">
        <v>44662</v>
      </c>
      <c r="C154" s="34" t="s">
        <v>108</v>
      </c>
      <c r="D154" s="35" t="s">
        <v>186</v>
      </c>
      <c r="E154" s="35" t="s">
        <v>26</v>
      </c>
      <c r="F154" s="48" t="s">
        <v>306</v>
      </c>
      <c r="G154" s="52" t="s">
        <v>307</v>
      </c>
      <c r="H154" s="50" t="s">
        <v>308</v>
      </c>
      <c r="I154" s="50" t="s">
        <v>308</v>
      </c>
      <c r="J154" s="38" t="n">
        <v>22</v>
      </c>
      <c r="K154" s="47" t="n">
        <v>1</v>
      </c>
      <c r="L154" s="47" t="n">
        <v>1</v>
      </c>
      <c r="M154" s="47" t="n">
        <v>1</v>
      </c>
      <c r="N154" s="47" t="n">
        <v>1</v>
      </c>
      <c r="O154" s="40" t="n">
        <v>1</v>
      </c>
      <c r="P154" s="41" t="n">
        <v>1</v>
      </c>
      <c r="Q154" s="42" t="n">
        <v>6</v>
      </c>
      <c r="R154" s="42" t="n">
        <v>2</v>
      </c>
      <c r="S154" s="42" t="n">
        <v>8</v>
      </c>
      <c r="T154" s="42" t="n">
        <v>3</v>
      </c>
      <c r="U154" s="43" t="n">
        <v>2</v>
      </c>
      <c r="V154" s="43" t="n">
        <v>2</v>
      </c>
      <c r="W154" s="44" t="n">
        <v>2</v>
      </c>
      <c r="X154" s="44" t="n">
        <v>3</v>
      </c>
      <c r="Y154" s="43" t="n">
        <v>0</v>
      </c>
      <c r="Z154" s="43" t="n">
        <v>0</v>
      </c>
      <c r="AA154" s="44" t="n">
        <v>0</v>
      </c>
      <c r="AB154" s="44" t="n">
        <v>0</v>
      </c>
      <c r="AC154" s="43" t="n">
        <v>0</v>
      </c>
      <c r="AD154" s="43" t="n">
        <v>0</v>
      </c>
      <c r="AE154" s="44" t="n">
        <v>0</v>
      </c>
      <c r="AF154" s="44" t="n">
        <v>0</v>
      </c>
      <c r="AG154" s="43" t="n">
        <v>0</v>
      </c>
      <c r="AH154" s="43" t="n">
        <v>0</v>
      </c>
      <c r="AI154" s="43" t="n">
        <v>0</v>
      </c>
      <c r="AJ154" s="44"/>
      <c r="AK154" s="43" t="n">
        <v>1</v>
      </c>
      <c r="AL154" s="43" t="n">
        <v>10</v>
      </c>
      <c r="AM154" s="45" t="n">
        <v>0.7</v>
      </c>
      <c r="AN154" s="45" t="n">
        <v>0.3</v>
      </c>
      <c r="AO154" s="45" t="n">
        <v>1</v>
      </c>
      <c r="AP154" s="46" t="n">
        <v>1200</v>
      </c>
      <c r="AQ154" s="46" t="n">
        <v>1200</v>
      </c>
    </row>
    <row r="155" customFormat="false" ht="14.25" hidden="false" customHeight="false" outlineLevel="0" collapsed="false">
      <c r="A155" s="51" t="s">
        <v>309</v>
      </c>
      <c r="B155" s="33" t="n">
        <v>45964</v>
      </c>
      <c r="C155" s="34" t="s">
        <v>171</v>
      </c>
      <c r="D155" s="35" t="s">
        <v>186</v>
      </c>
      <c r="E155" s="35" t="s">
        <v>26</v>
      </c>
      <c r="F155" s="48" t="s">
        <v>306</v>
      </c>
      <c r="G155" s="52" t="s">
        <v>307</v>
      </c>
      <c r="H155" s="50" t="s">
        <v>308</v>
      </c>
      <c r="I155" s="50" t="s">
        <v>308</v>
      </c>
      <c r="J155" s="38" t="n">
        <v>22</v>
      </c>
      <c r="K155" s="47" t="n">
        <v>1</v>
      </c>
      <c r="L155" s="47" t="n">
        <v>1</v>
      </c>
      <c r="M155" s="47" t="n">
        <v>1</v>
      </c>
      <c r="N155" s="47" t="n">
        <v>1</v>
      </c>
      <c r="O155" s="40" t="n">
        <v>1</v>
      </c>
      <c r="P155" s="41" t="n">
        <v>1</v>
      </c>
      <c r="Q155" s="42" t="n">
        <v>6</v>
      </c>
      <c r="R155" s="42" t="n">
        <v>2</v>
      </c>
      <c r="S155" s="42" t="n">
        <v>8</v>
      </c>
      <c r="T155" s="42" t="n">
        <v>3</v>
      </c>
      <c r="U155" s="43" t="n">
        <v>4</v>
      </c>
      <c r="V155" s="43" t="n">
        <v>4</v>
      </c>
      <c r="W155" s="44" t="n">
        <v>5</v>
      </c>
      <c r="X155" s="44" t="n">
        <v>6</v>
      </c>
      <c r="Y155" s="43" t="n">
        <v>0</v>
      </c>
      <c r="Z155" s="43" t="n">
        <v>0</v>
      </c>
      <c r="AA155" s="44" t="n">
        <v>0</v>
      </c>
      <c r="AB155" s="44" t="n">
        <v>0</v>
      </c>
      <c r="AC155" s="43" t="n">
        <v>0</v>
      </c>
      <c r="AD155" s="43" t="n">
        <v>0</v>
      </c>
      <c r="AE155" s="44" t="n">
        <v>0</v>
      </c>
      <c r="AF155" s="44" t="n">
        <v>0</v>
      </c>
      <c r="AG155" s="43" t="n">
        <v>1</v>
      </c>
      <c r="AH155" s="43" t="n">
        <v>0</v>
      </c>
      <c r="AI155" s="43" t="n">
        <v>0</v>
      </c>
      <c r="AJ155" s="44"/>
      <c r="AK155" s="43" t="n">
        <v>0</v>
      </c>
      <c r="AL155" s="43" t="n">
        <v>20</v>
      </c>
      <c r="AM155" s="45" t="n">
        <v>0.7</v>
      </c>
      <c r="AN155" s="45" t="n">
        <v>0.3</v>
      </c>
      <c r="AO155" s="45" t="n">
        <v>1</v>
      </c>
      <c r="AP155" s="46" t="n">
        <v>1200</v>
      </c>
      <c r="AQ155" s="46" t="n">
        <v>1200</v>
      </c>
    </row>
    <row r="156" customFormat="false" ht="14.25" hidden="false" customHeight="false" outlineLevel="0" collapsed="false">
      <c r="A156" s="51" t="s">
        <v>310</v>
      </c>
      <c r="B156" s="33" t="n">
        <v>46113</v>
      </c>
      <c r="C156" s="34" t="s">
        <v>140</v>
      </c>
      <c r="D156" s="35" t="s">
        <v>186</v>
      </c>
      <c r="E156" s="35" t="s">
        <v>26</v>
      </c>
      <c r="F156" s="48" t="s">
        <v>306</v>
      </c>
      <c r="G156" s="52" t="s">
        <v>307</v>
      </c>
      <c r="H156" s="50" t="s">
        <v>308</v>
      </c>
      <c r="I156" s="50" t="s">
        <v>308</v>
      </c>
      <c r="J156" s="38" t="n">
        <v>16.5</v>
      </c>
      <c r="K156" s="47" t="n">
        <v>1</v>
      </c>
      <c r="L156" s="47" t="n">
        <v>1</v>
      </c>
      <c r="M156" s="47" t="n">
        <v>0</v>
      </c>
      <c r="N156" s="47" t="n">
        <v>1</v>
      </c>
      <c r="O156" s="40" t="n">
        <v>0.75</v>
      </c>
      <c r="P156" s="41" t="n">
        <v>0.75</v>
      </c>
      <c r="Q156" s="42" t="n">
        <v>5</v>
      </c>
      <c r="R156" s="42" t="n">
        <v>1</v>
      </c>
      <c r="S156" s="42" t="n">
        <v>6</v>
      </c>
      <c r="T156" s="42" t="n">
        <v>3</v>
      </c>
      <c r="U156" s="43" t="n">
        <v>0</v>
      </c>
      <c r="V156" s="43" t="n">
        <v>0</v>
      </c>
      <c r="W156" s="44" t="n">
        <v>0</v>
      </c>
      <c r="X156" s="44" t="n">
        <v>0</v>
      </c>
      <c r="Y156" s="43" t="n">
        <v>0</v>
      </c>
      <c r="Z156" s="43" t="n">
        <v>0</v>
      </c>
      <c r="AA156" s="44" t="n">
        <v>0</v>
      </c>
      <c r="AB156" s="44" t="n">
        <v>0</v>
      </c>
      <c r="AC156" s="43" t="n">
        <v>0</v>
      </c>
      <c r="AD156" s="43" t="n">
        <v>0</v>
      </c>
      <c r="AE156" s="44" t="n">
        <v>0</v>
      </c>
      <c r="AF156" s="44" t="n">
        <v>0</v>
      </c>
      <c r="AG156" s="43" t="n">
        <v>0</v>
      </c>
      <c r="AH156" s="43" t="n">
        <v>0</v>
      </c>
      <c r="AI156" s="43" t="n">
        <v>0</v>
      </c>
      <c r="AJ156" s="44"/>
      <c r="AK156" s="43" t="n">
        <v>0</v>
      </c>
      <c r="AL156" s="43" t="n">
        <v>0</v>
      </c>
      <c r="AM156" s="45" t="n">
        <v>0.7</v>
      </c>
      <c r="AN156" s="45" t="n">
        <v>0.3</v>
      </c>
      <c r="AO156" s="45" t="n">
        <v>0.75</v>
      </c>
      <c r="AP156" s="46" t="n">
        <v>1200</v>
      </c>
      <c r="AQ156" s="46" t="n">
        <v>900</v>
      </c>
    </row>
    <row r="157" customFormat="false" ht="14.25" hidden="false" customHeight="false" outlineLevel="0" collapsed="false">
      <c r="A157" s="51" t="s">
        <v>311</v>
      </c>
      <c r="B157" s="33" t="n">
        <v>44424</v>
      </c>
      <c r="C157" s="34" t="s">
        <v>108</v>
      </c>
      <c r="D157" s="35" t="s">
        <v>186</v>
      </c>
      <c r="E157" s="35" t="s">
        <v>26</v>
      </c>
      <c r="F157" s="48" t="s">
        <v>306</v>
      </c>
      <c r="G157" s="52" t="s">
        <v>307</v>
      </c>
      <c r="H157" s="50" t="s">
        <v>308</v>
      </c>
      <c r="I157" s="50" t="s">
        <v>308</v>
      </c>
      <c r="J157" s="38" t="n">
        <v>22</v>
      </c>
      <c r="K157" s="47" t="n">
        <v>1</v>
      </c>
      <c r="L157" s="47" t="n">
        <v>1</v>
      </c>
      <c r="M157" s="47" t="n">
        <v>1</v>
      </c>
      <c r="N157" s="47" t="n">
        <v>1</v>
      </c>
      <c r="O157" s="40" t="n">
        <v>1</v>
      </c>
      <c r="P157" s="41" t="n">
        <v>1</v>
      </c>
      <c r="Q157" s="42" t="n">
        <v>6</v>
      </c>
      <c r="R157" s="42" t="n">
        <v>2</v>
      </c>
      <c r="S157" s="42" t="n">
        <v>8</v>
      </c>
      <c r="T157" s="42" t="n">
        <v>4</v>
      </c>
      <c r="U157" s="43" t="n">
        <v>0</v>
      </c>
      <c r="V157" s="43" t="n">
        <v>0</v>
      </c>
      <c r="W157" s="44" t="n">
        <v>0</v>
      </c>
      <c r="X157" s="44" t="n">
        <v>0</v>
      </c>
      <c r="Y157" s="43" t="n">
        <v>0</v>
      </c>
      <c r="Z157" s="43" t="n">
        <v>0</v>
      </c>
      <c r="AA157" s="44" t="n">
        <v>0</v>
      </c>
      <c r="AB157" s="44" t="n">
        <v>0</v>
      </c>
      <c r="AC157" s="43" t="n">
        <v>0</v>
      </c>
      <c r="AD157" s="43" t="n">
        <v>0</v>
      </c>
      <c r="AE157" s="44" t="n">
        <v>0</v>
      </c>
      <c r="AF157" s="44" t="n">
        <v>0</v>
      </c>
      <c r="AG157" s="43" t="n">
        <v>1</v>
      </c>
      <c r="AH157" s="43" t="n">
        <v>0</v>
      </c>
      <c r="AI157" s="43" t="n">
        <v>0</v>
      </c>
      <c r="AJ157" s="44"/>
      <c r="AK157" s="43" t="n">
        <v>0</v>
      </c>
      <c r="AL157" s="43" t="n">
        <v>0</v>
      </c>
      <c r="AM157" s="45" t="n">
        <v>0.7</v>
      </c>
      <c r="AN157" s="45" t="n">
        <v>0.3</v>
      </c>
      <c r="AO157" s="45" t="n">
        <v>1</v>
      </c>
      <c r="AP157" s="46" t="n">
        <v>1200</v>
      </c>
      <c r="AQ157" s="46" t="n">
        <v>1200</v>
      </c>
    </row>
    <row r="158" customFormat="false" ht="14.25" hidden="false" customHeight="false" outlineLevel="0" collapsed="false">
      <c r="A158" s="51" t="s">
        <v>312</v>
      </c>
      <c r="B158" s="33" t="n">
        <v>46054</v>
      </c>
      <c r="C158" s="34" t="s">
        <v>134</v>
      </c>
      <c r="D158" s="35" t="s">
        <v>186</v>
      </c>
      <c r="E158" s="35" t="s">
        <v>26</v>
      </c>
      <c r="F158" s="48" t="s">
        <v>306</v>
      </c>
      <c r="G158" s="52" t="s">
        <v>307</v>
      </c>
      <c r="H158" s="50" t="s">
        <v>308</v>
      </c>
      <c r="I158" s="50" t="s">
        <v>308</v>
      </c>
      <c r="J158" s="38" t="n">
        <v>22</v>
      </c>
      <c r="K158" s="47" t="n">
        <v>1</v>
      </c>
      <c r="L158" s="47" t="n">
        <v>1</v>
      </c>
      <c r="M158" s="47" t="n">
        <v>1</v>
      </c>
      <c r="N158" s="47" t="n">
        <v>1</v>
      </c>
      <c r="O158" s="40" t="n">
        <v>1</v>
      </c>
      <c r="P158" s="41" t="n">
        <v>1</v>
      </c>
      <c r="Q158" s="42" t="n">
        <v>6</v>
      </c>
      <c r="R158" s="42" t="n">
        <v>2</v>
      </c>
      <c r="S158" s="42" t="n">
        <v>8</v>
      </c>
      <c r="T158" s="42" t="n">
        <v>3</v>
      </c>
      <c r="U158" s="43" t="n">
        <v>1</v>
      </c>
      <c r="V158" s="43" t="n">
        <v>1</v>
      </c>
      <c r="W158" s="44" t="n">
        <v>1</v>
      </c>
      <c r="X158" s="44" t="n">
        <v>1</v>
      </c>
      <c r="Y158" s="43" t="n">
        <v>0</v>
      </c>
      <c r="Z158" s="43" t="n">
        <v>0</v>
      </c>
      <c r="AA158" s="44" t="n">
        <v>0</v>
      </c>
      <c r="AB158" s="44" t="n">
        <v>0</v>
      </c>
      <c r="AC158" s="43" t="n">
        <v>0</v>
      </c>
      <c r="AD158" s="43" t="n">
        <v>0</v>
      </c>
      <c r="AE158" s="44" t="n">
        <v>0</v>
      </c>
      <c r="AF158" s="44" t="n">
        <v>0</v>
      </c>
      <c r="AG158" s="43" t="n">
        <v>0</v>
      </c>
      <c r="AH158" s="43" t="n">
        <v>0</v>
      </c>
      <c r="AI158" s="43" t="n">
        <v>0</v>
      </c>
      <c r="AJ158" s="44"/>
      <c r="AK158" s="43" t="n">
        <v>0</v>
      </c>
      <c r="AL158" s="43" t="n">
        <v>4</v>
      </c>
      <c r="AM158" s="45" t="n">
        <v>0.7</v>
      </c>
      <c r="AN158" s="45" t="n">
        <v>0.3</v>
      </c>
      <c r="AO158" s="45" t="n">
        <v>1</v>
      </c>
      <c r="AP158" s="46" t="n">
        <v>1200</v>
      </c>
      <c r="AQ158" s="46" t="n">
        <v>1200</v>
      </c>
    </row>
    <row r="159" customFormat="false" ht="14.25" hidden="false" customHeight="false" outlineLevel="0" collapsed="false">
      <c r="A159" s="51" t="s">
        <v>313</v>
      </c>
      <c r="B159" s="33" t="n">
        <v>46146</v>
      </c>
      <c r="C159" s="34" t="s">
        <v>126</v>
      </c>
      <c r="D159" s="35" t="s">
        <v>186</v>
      </c>
      <c r="E159" s="35" t="s">
        <v>26</v>
      </c>
      <c r="F159" s="48" t="s">
        <v>306</v>
      </c>
      <c r="G159" s="52" t="s">
        <v>307</v>
      </c>
      <c r="H159" s="50" t="s">
        <v>308</v>
      </c>
      <c r="I159" s="50" t="s">
        <v>308</v>
      </c>
      <c r="J159" s="38" t="n">
        <v>22</v>
      </c>
      <c r="K159" s="47" t="n">
        <v>1</v>
      </c>
      <c r="L159" s="47" t="n">
        <v>1</v>
      </c>
      <c r="M159" s="47" t="n">
        <v>1</v>
      </c>
      <c r="N159" s="47" t="n">
        <v>1</v>
      </c>
      <c r="O159" s="40" t="n">
        <v>1</v>
      </c>
      <c r="P159" s="41" t="n">
        <v>1</v>
      </c>
      <c r="Q159" s="42" t="n">
        <v>6</v>
      </c>
      <c r="R159" s="42" t="n">
        <v>2</v>
      </c>
      <c r="S159" s="42" t="n">
        <v>8</v>
      </c>
      <c r="T159" s="42" t="n">
        <v>3</v>
      </c>
      <c r="U159" s="43" t="n">
        <v>0</v>
      </c>
      <c r="V159" s="43" t="n">
        <v>0</v>
      </c>
      <c r="W159" s="44" t="n">
        <v>0</v>
      </c>
      <c r="X159" s="44" t="n">
        <v>0</v>
      </c>
      <c r="Y159" s="43" t="n">
        <v>0</v>
      </c>
      <c r="Z159" s="43" t="n">
        <v>0</v>
      </c>
      <c r="AA159" s="44" t="n">
        <v>0</v>
      </c>
      <c r="AB159" s="44" t="n">
        <v>0</v>
      </c>
      <c r="AC159" s="43" t="n">
        <v>0</v>
      </c>
      <c r="AD159" s="43" t="n">
        <v>0</v>
      </c>
      <c r="AE159" s="44" t="n">
        <v>0</v>
      </c>
      <c r="AF159" s="44" t="n">
        <v>0</v>
      </c>
      <c r="AG159" s="43" t="n">
        <v>0</v>
      </c>
      <c r="AH159" s="43" t="n">
        <v>0</v>
      </c>
      <c r="AI159" s="43" t="n">
        <v>0</v>
      </c>
      <c r="AJ159" s="44"/>
      <c r="AK159" s="43" t="n">
        <v>0</v>
      </c>
      <c r="AL159" s="43" t="n">
        <v>0</v>
      </c>
      <c r="AM159" s="45" t="n">
        <v>0.7</v>
      </c>
      <c r="AN159" s="45" t="n">
        <v>0.3</v>
      </c>
      <c r="AO159" s="45" t="n">
        <v>1</v>
      </c>
      <c r="AP159" s="46" t="n">
        <v>1200</v>
      </c>
      <c r="AQ159" s="46" t="n">
        <v>1200</v>
      </c>
    </row>
    <row r="160" customFormat="false" ht="14.25" hidden="false" customHeight="false" outlineLevel="0" collapsed="false">
      <c r="A160" s="51" t="s">
        <v>314</v>
      </c>
      <c r="B160" s="33" t="n">
        <v>46097</v>
      </c>
      <c r="C160" s="34" t="s">
        <v>219</v>
      </c>
      <c r="D160" s="35" t="s">
        <v>186</v>
      </c>
      <c r="E160" s="35" t="s">
        <v>26</v>
      </c>
      <c r="F160" s="48" t="s">
        <v>306</v>
      </c>
      <c r="G160" s="52" t="s">
        <v>307</v>
      </c>
      <c r="H160" s="50" t="s">
        <v>308</v>
      </c>
      <c r="I160" s="50" t="s">
        <v>308</v>
      </c>
      <c r="J160" s="38" t="n">
        <v>22</v>
      </c>
      <c r="K160" s="47" t="n">
        <v>1</v>
      </c>
      <c r="L160" s="47" t="n">
        <v>1</v>
      </c>
      <c r="M160" s="47" t="n">
        <v>1</v>
      </c>
      <c r="N160" s="47" t="n">
        <v>1</v>
      </c>
      <c r="O160" s="40" t="n">
        <v>1</v>
      </c>
      <c r="P160" s="41" t="n">
        <v>1</v>
      </c>
      <c r="Q160" s="42" t="n">
        <v>6</v>
      </c>
      <c r="R160" s="42" t="n">
        <v>2</v>
      </c>
      <c r="S160" s="42" t="n">
        <v>8</v>
      </c>
      <c r="T160" s="42" t="n">
        <v>3</v>
      </c>
      <c r="U160" s="43" t="n">
        <v>2</v>
      </c>
      <c r="V160" s="43" t="n">
        <v>2</v>
      </c>
      <c r="W160" s="44" t="n">
        <v>2</v>
      </c>
      <c r="X160" s="44" t="n">
        <v>3</v>
      </c>
      <c r="Y160" s="43" t="n">
        <v>0</v>
      </c>
      <c r="Z160" s="43" t="n">
        <v>0</v>
      </c>
      <c r="AA160" s="44" t="n">
        <v>0</v>
      </c>
      <c r="AB160" s="44" t="n">
        <v>0</v>
      </c>
      <c r="AC160" s="43" t="n">
        <v>0</v>
      </c>
      <c r="AD160" s="43" t="n">
        <v>0</v>
      </c>
      <c r="AE160" s="44" t="n">
        <v>0</v>
      </c>
      <c r="AF160" s="44" t="n">
        <v>0</v>
      </c>
      <c r="AG160" s="43" t="n">
        <v>0</v>
      </c>
      <c r="AH160" s="43" t="n">
        <v>0</v>
      </c>
      <c r="AI160" s="43" t="n">
        <v>0</v>
      </c>
      <c r="AJ160" s="44"/>
      <c r="AK160" s="43" t="n">
        <v>0</v>
      </c>
      <c r="AL160" s="43" t="n">
        <v>9</v>
      </c>
      <c r="AM160" s="45" t="n">
        <v>0.7</v>
      </c>
      <c r="AN160" s="45" t="n">
        <v>0.3</v>
      </c>
      <c r="AO160" s="45" t="n">
        <v>1</v>
      </c>
      <c r="AP160" s="46" t="n">
        <v>1200</v>
      </c>
      <c r="AQ160" s="46" t="n">
        <v>1200</v>
      </c>
    </row>
    <row r="161" customFormat="false" ht="14.25" hidden="false" customHeight="false" outlineLevel="0" collapsed="false">
      <c r="A161" s="51" t="s">
        <v>315</v>
      </c>
      <c r="B161" s="33" t="n">
        <v>45208</v>
      </c>
      <c r="C161" s="34" t="s">
        <v>108</v>
      </c>
      <c r="D161" s="35" t="s">
        <v>186</v>
      </c>
      <c r="E161" s="35" t="s">
        <v>26</v>
      </c>
      <c r="F161" s="48" t="s">
        <v>306</v>
      </c>
      <c r="G161" s="52" t="s">
        <v>307</v>
      </c>
      <c r="H161" s="50" t="s">
        <v>308</v>
      </c>
      <c r="I161" s="50" t="s">
        <v>308</v>
      </c>
      <c r="J161" s="38" t="n">
        <v>11</v>
      </c>
      <c r="K161" s="47" t="n">
        <v>1</v>
      </c>
      <c r="L161" s="47" t="n">
        <v>1</v>
      </c>
      <c r="M161" s="47" t="n">
        <v>0</v>
      </c>
      <c r="N161" s="47" t="n">
        <v>0</v>
      </c>
      <c r="O161" s="40" t="n">
        <v>0.5</v>
      </c>
      <c r="P161" s="41" t="n">
        <v>0.5</v>
      </c>
      <c r="Q161" s="42" t="n">
        <v>3</v>
      </c>
      <c r="R161" s="42" t="n">
        <v>1</v>
      </c>
      <c r="S161" s="42" t="n">
        <v>4</v>
      </c>
      <c r="T161" s="42" t="n">
        <v>2</v>
      </c>
      <c r="U161" s="43" t="n">
        <v>1</v>
      </c>
      <c r="V161" s="43" t="n">
        <v>1</v>
      </c>
      <c r="W161" s="44" t="n">
        <v>0</v>
      </c>
      <c r="X161" s="44" t="n">
        <v>0</v>
      </c>
      <c r="Y161" s="43" t="n">
        <v>0</v>
      </c>
      <c r="Z161" s="43" t="n">
        <v>0</v>
      </c>
      <c r="AA161" s="44" t="n">
        <v>0</v>
      </c>
      <c r="AB161" s="44" t="n">
        <v>0</v>
      </c>
      <c r="AC161" s="43" t="n">
        <v>0</v>
      </c>
      <c r="AD161" s="43" t="n">
        <v>0</v>
      </c>
      <c r="AE161" s="44" t="n">
        <v>0</v>
      </c>
      <c r="AF161" s="44" t="n">
        <v>0</v>
      </c>
      <c r="AG161" s="43" t="n">
        <v>0</v>
      </c>
      <c r="AH161" s="43" t="n">
        <v>0</v>
      </c>
      <c r="AI161" s="43" t="n">
        <v>0</v>
      </c>
      <c r="AJ161" s="44"/>
      <c r="AK161" s="43" t="n">
        <v>1</v>
      </c>
      <c r="AL161" s="43" t="n">
        <v>3</v>
      </c>
      <c r="AM161" s="45" t="n">
        <v>0.7</v>
      </c>
      <c r="AN161" s="45" t="n">
        <v>0.3</v>
      </c>
      <c r="AO161" s="45" t="n">
        <v>0.5</v>
      </c>
      <c r="AP161" s="46" t="n">
        <v>1200</v>
      </c>
      <c r="AQ161" s="46" t="n">
        <v>600</v>
      </c>
    </row>
    <row r="162" customFormat="false" ht="14.25" hidden="false" customHeight="false" outlineLevel="0" collapsed="false">
      <c r="A162" s="51" t="s">
        <v>316</v>
      </c>
      <c r="B162" s="33" t="n">
        <v>46235</v>
      </c>
      <c r="C162" s="34" t="s">
        <v>176</v>
      </c>
      <c r="D162" s="35" t="s">
        <v>186</v>
      </c>
      <c r="E162" s="35" t="s">
        <v>26</v>
      </c>
      <c r="F162" s="48" t="s">
        <v>306</v>
      </c>
      <c r="G162" s="52" t="s">
        <v>307</v>
      </c>
      <c r="H162" s="50" t="s">
        <v>308</v>
      </c>
      <c r="I162" s="50" t="s">
        <v>308</v>
      </c>
      <c r="J162" s="38" t="n">
        <v>22</v>
      </c>
      <c r="K162" s="47" t="n">
        <v>1</v>
      </c>
      <c r="L162" s="47" t="n">
        <v>1</v>
      </c>
      <c r="M162" s="47" t="n">
        <v>1</v>
      </c>
      <c r="N162" s="47" t="n">
        <v>1</v>
      </c>
      <c r="O162" s="40" t="n">
        <v>1</v>
      </c>
      <c r="P162" s="41" t="n">
        <v>1</v>
      </c>
      <c r="Q162" s="42" t="n">
        <v>4</v>
      </c>
      <c r="R162" s="42" t="n">
        <v>1</v>
      </c>
      <c r="S162" s="42" t="n">
        <v>5</v>
      </c>
      <c r="T162" s="42" t="n">
        <v>2</v>
      </c>
      <c r="U162" s="43" t="n">
        <v>0</v>
      </c>
      <c r="V162" s="43" t="n">
        <v>0</v>
      </c>
      <c r="W162" s="44" t="n">
        <v>0</v>
      </c>
      <c r="X162" s="44" t="n">
        <v>0</v>
      </c>
      <c r="Y162" s="43" t="n">
        <v>0</v>
      </c>
      <c r="Z162" s="43" t="n">
        <v>0</v>
      </c>
      <c r="AA162" s="44" t="n">
        <v>0</v>
      </c>
      <c r="AB162" s="44" t="n">
        <v>0</v>
      </c>
      <c r="AC162" s="43" t="n">
        <v>0</v>
      </c>
      <c r="AD162" s="43" t="n">
        <v>0</v>
      </c>
      <c r="AE162" s="44" t="n">
        <v>0</v>
      </c>
      <c r="AF162" s="44" t="n">
        <v>0</v>
      </c>
      <c r="AG162" s="43" t="n">
        <v>0</v>
      </c>
      <c r="AH162" s="43" t="n">
        <v>0</v>
      </c>
      <c r="AI162" s="43" t="n">
        <v>0</v>
      </c>
      <c r="AJ162" s="44"/>
      <c r="AK162" s="43" t="n">
        <v>0</v>
      </c>
      <c r="AL162" s="43" t="n">
        <v>0</v>
      </c>
      <c r="AM162" s="45" t="n">
        <v>0.7</v>
      </c>
      <c r="AN162" s="45" t="n">
        <v>0.3</v>
      </c>
      <c r="AO162" s="45" t="n">
        <v>1</v>
      </c>
      <c r="AP162" s="46" t="n">
        <v>1200</v>
      </c>
      <c r="AQ162" s="46" t="n">
        <v>1200</v>
      </c>
    </row>
    <row r="163" customFormat="false" ht="14.25" hidden="false" customHeight="false" outlineLevel="0" collapsed="false">
      <c r="A163" s="51" t="s">
        <v>317</v>
      </c>
      <c r="B163" s="33" t="n">
        <v>46235</v>
      </c>
      <c r="C163" s="34" t="s">
        <v>176</v>
      </c>
      <c r="D163" s="35" t="s">
        <v>186</v>
      </c>
      <c r="E163" s="35" t="s">
        <v>26</v>
      </c>
      <c r="F163" s="48" t="s">
        <v>306</v>
      </c>
      <c r="G163" s="52" t="s">
        <v>307</v>
      </c>
      <c r="H163" s="50" t="s">
        <v>308</v>
      </c>
      <c r="I163" s="50" t="s">
        <v>308</v>
      </c>
      <c r="J163" s="38" t="n">
        <v>22</v>
      </c>
      <c r="K163" s="47" t="n">
        <v>1</v>
      </c>
      <c r="L163" s="47" t="n">
        <v>1</v>
      </c>
      <c r="M163" s="47" t="n">
        <v>1</v>
      </c>
      <c r="N163" s="47" t="n">
        <v>1</v>
      </c>
      <c r="O163" s="40" t="n">
        <v>1</v>
      </c>
      <c r="P163" s="41" t="n">
        <v>1</v>
      </c>
      <c r="Q163" s="42" t="n">
        <v>4</v>
      </c>
      <c r="R163" s="42" t="n">
        <v>1</v>
      </c>
      <c r="S163" s="42" t="n">
        <v>5</v>
      </c>
      <c r="T163" s="42" t="n">
        <v>2</v>
      </c>
      <c r="U163" s="43" t="n">
        <v>0</v>
      </c>
      <c r="V163" s="43" t="n">
        <v>0</v>
      </c>
      <c r="W163" s="44" t="n">
        <v>0</v>
      </c>
      <c r="X163" s="44" t="n">
        <v>0</v>
      </c>
      <c r="Y163" s="43" t="n">
        <v>0</v>
      </c>
      <c r="Z163" s="43" t="n">
        <v>0</v>
      </c>
      <c r="AA163" s="44" t="n">
        <v>0</v>
      </c>
      <c r="AB163" s="44" t="n">
        <v>0</v>
      </c>
      <c r="AC163" s="43" t="n">
        <v>0</v>
      </c>
      <c r="AD163" s="43" t="n">
        <v>0</v>
      </c>
      <c r="AE163" s="44" t="n">
        <v>0</v>
      </c>
      <c r="AF163" s="44" t="n">
        <v>0</v>
      </c>
      <c r="AG163" s="43" t="n">
        <v>0</v>
      </c>
      <c r="AH163" s="43" t="n">
        <v>0</v>
      </c>
      <c r="AI163" s="43" t="n">
        <v>0</v>
      </c>
      <c r="AJ163" s="44"/>
      <c r="AK163" s="43" t="n">
        <v>0</v>
      </c>
      <c r="AL163" s="43" t="n">
        <v>0</v>
      </c>
      <c r="AM163" s="45" t="n">
        <v>0.7</v>
      </c>
      <c r="AN163" s="45" t="n">
        <v>0.3</v>
      </c>
      <c r="AO163" s="45" t="n">
        <v>1</v>
      </c>
      <c r="AP163" s="46" t="n">
        <v>1200</v>
      </c>
      <c r="AQ163" s="46" t="n">
        <v>1200</v>
      </c>
    </row>
    <row r="164" customFormat="false" ht="14.25" hidden="false" customHeight="false" outlineLevel="0" collapsed="false">
      <c r="A164" s="51" t="s">
        <v>318</v>
      </c>
      <c r="B164" s="33" t="n">
        <v>46248</v>
      </c>
      <c r="C164" s="34" t="s">
        <v>176</v>
      </c>
      <c r="D164" s="35" t="s">
        <v>186</v>
      </c>
      <c r="E164" s="35" t="s">
        <v>26</v>
      </c>
      <c r="F164" s="48" t="s">
        <v>306</v>
      </c>
      <c r="G164" s="52" t="s">
        <v>307</v>
      </c>
      <c r="H164" s="50" t="s">
        <v>308</v>
      </c>
      <c r="I164" s="50" t="s">
        <v>308</v>
      </c>
      <c r="J164" s="38" t="n">
        <v>22</v>
      </c>
      <c r="K164" s="47" t="n">
        <v>1</v>
      </c>
      <c r="L164" s="47" t="n">
        <v>1</v>
      </c>
      <c r="M164" s="47" t="n">
        <v>1</v>
      </c>
      <c r="N164" s="47" t="n">
        <v>1</v>
      </c>
      <c r="O164" s="40" t="n">
        <v>1</v>
      </c>
      <c r="P164" s="41" t="n">
        <v>1</v>
      </c>
      <c r="Q164" s="42" t="n">
        <v>4</v>
      </c>
      <c r="R164" s="42" t="n">
        <v>1</v>
      </c>
      <c r="S164" s="42" t="n">
        <v>5</v>
      </c>
      <c r="T164" s="42" t="n">
        <v>2</v>
      </c>
      <c r="U164" s="43" t="n">
        <v>3</v>
      </c>
      <c r="V164" s="43" t="n">
        <v>3</v>
      </c>
      <c r="W164" s="44" t="n">
        <v>4</v>
      </c>
      <c r="X164" s="44" t="n">
        <v>5</v>
      </c>
      <c r="Y164" s="43" t="n">
        <v>0</v>
      </c>
      <c r="Z164" s="43" t="n">
        <v>0</v>
      </c>
      <c r="AA164" s="44" t="n">
        <v>0</v>
      </c>
      <c r="AB164" s="44" t="n">
        <v>0</v>
      </c>
      <c r="AC164" s="43" t="n">
        <v>0</v>
      </c>
      <c r="AD164" s="43" t="n">
        <v>0</v>
      </c>
      <c r="AE164" s="44" t="n">
        <v>0</v>
      </c>
      <c r="AF164" s="44" t="n">
        <v>0</v>
      </c>
      <c r="AG164" s="43" t="n">
        <v>0</v>
      </c>
      <c r="AH164" s="43" t="n">
        <v>0</v>
      </c>
      <c r="AI164" s="43" t="n">
        <v>0</v>
      </c>
      <c r="AJ164" s="44"/>
      <c r="AK164" s="43" t="n">
        <v>0</v>
      </c>
      <c r="AL164" s="43" t="n">
        <v>15</v>
      </c>
      <c r="AM164" s="45" t="n">
        <v>0.7</v>
      </c>
      <c r="AN164" s="45" t="n">
        <v>0.3</v>
      </c>
      <c r="AO164" s="45" t="n">
        <v>1</v>
      </c>
      <c r="AP164" s="46" t="n">
        <v>1200</v>
      </c>
      <c r="AQ164" s="46" t="n">
        <v>1200</v>
      </c>
    </row>
    <row r="165" customFormat="false" ht="14.25" hidden="false" customHeight="false" outlineLevel="0" collapsed="false">
      <c r="A165" s="51" t="s">
        <v>319</v>
      </c>
      <c r="B165" s="33" t="n">
        <v>46248</v>
      </c>
      <c r="C165" s="34" t="s">
        <v>176</v>
      </c>
      <c r="D165" s="35" t="s">
        <v>186</v>
      </c>
      <c r="E165" s="35" t="s">
        <v>26</v>
      </c>
      <c r="F165" s="48" t="s">
        <v>306</v>
      </c>
      <c r="G165" s="52" t="s">
        <v>307</v>
      </c>
      <c r="H165" s="50" t="s">
        <v>308</v>
      </c>
      <c r="I165" s="50" t="s">
        <v>308</v>
      </c>
      <c r="J165" s="38" t="n">
        <v>22</v>
      </c>
      <c r="K165" s="47" t="n">
        <v>1</v>
      </c>
      <c r="L165" s="47" t="n">
        <v>1</v>
      </c>
      <c r="M165" s="47" t="n">
        <v>1</v>
      </c>
      <c r="N165" s="47" t="n">
        <v>1</v>
      </c>
      <c r="O165" s="40" t="n">
        <v>1</v>
      </c>
      <c r="P165" s="41" t="n">
        <v>1</v>
      </c>
      <c r="Q165" s="42" t="n">
        <v>4</v>
      </c>
      <c r="R165" s="42" t="n">
        <v>1</v>
      </c>
      <c r="S165" s="42" t="n">
        <v>5</v>
      </c>
      <c r="T165" s="42" t="n">
        <v>2</v>
      </c>
      <c r="U165" s="43" t="n">
        <v>1</v>
      </c>
      <c r="V165" s="43" t="n">
        <v>1</v>
      </c>
      <c r="W165" s="44" t="n">
        <v>1</v>
      </c>
      <c r="X165" s="44" t="n">
        <v>1</v>
      </c>
      <c r="Y165" s="43" t="n">
        <v>0</v>
      </c>
      <c r="Z165" s="43" t="n">
        <v>0</v>
      </c>
      <c r="AA165" s="44" t="n">
        <v>0</v>
      </c>
      <c r="AB165" s="44" t="n">
        <v>0</v>
      </c>
      <c r="AC165" s="43" t="n">
        <v>0</v>
      </c>
      <c r="AD165" s="43" t="n">
        <v>0</v>
      </c>
      <c r="AE165" s="44" t="n">
        <v>0</v>
      </c>
      <c r="AF165" s="44" t="n">
        <v>0</v>
      </c>
      <c r="AG165" s="43" t="n">
        <v>0</v>
      </c>
      <c r="AH165" s="43" t="n">
        <v>0</v>
      </c>
      <c r="AI165" s="43" t="n">
        <v>0</v>
      </c>
      <c r="AJ165" s="44"/>
      <c r="AK165" s="43" t="n">
        <v>0</v>
      </c>
      <c r="AL165" s="43" t="n">
        <v>4</v>
      </c>
      <c r="AM165" s="45" t="n">
        <v>0.7</v>
      </c>
      <c r="AN165" s="45" t="n">
        <v>0.3</v>
      </c>
      <c r="AO165" s="45" t="n">
        <v>1</v>
      </c>
      <c r="AP165" s="46" t="n">
        <v>1200</v>
      </c>
      <c r="AQ165" s="46" t="n">
        <v>1200</v>
      </c>
    </row>
    <row r="166" customFormat="false" ht="14.25" hidden="false" customHeight="false" outlineLevel="0" collapsed="false">
      <c r="A166" s="51" t="s">
        <v>320</v>
      </c>
      <c r="B166" s="33" t="n">
        <v>45536</v>
      </c>
      <c r="C166" s="34" t="s">
        <v>108</v>
      </c>
      <c r="D166" s="35" t="s">
        <v>148</v>
      </c>
      <c r="E166" s="35" t="s">
        <v>24</v>
      </c>
      <c r="F166" s="48" t="s">
        <v>321</v>
      </c>
      <c r="G166" s="52" t="s">
        <v>307</v>
      </c>
      <c r="H166" s="50" t="s">
        <v>308</v>
      </c>
      <c r="I166" s="50" t="s">
        <v>308</v>
      </c>
      <c r="J166" s="38" t="n">
        <v>22</v>
      </c>
      <c r="K166" s="47" t="n">
        <v>1</v>
      </c>
      <c r="L166" s="47" t="n">
        <v>1</v>
      </c>
      <c r="M166" s="47" t="n">
        <v>1</v>
      </c>
      <c r="N166" s="47" t="n">
        <v>1</v>
      </c>
      <c r="O166" s="40" t="n">
        <v>1</v>
      </c>
      <c r="P166" s="41" t="n">
        <v>1</v>
      </c>
      <c r="Q166" s="42" t="n">
        <v>12</v>
      </c>
      <c r="R166" s="42" t="n">
        <v>4</v>
      </c>
      <c r="S166" s="42" t="n">
        <v>16</v>
      </c>
      <c r="T166" s="42" t="n">
        <v>5</v>
      </c>
      <c r="U166" s="43" t="n">
        <v>1</v>
      </c>
      <c r="V166" s="43" t="n">
        <v>1</v>
      </c>
      <c r="W166" s="44" t="n">
        <v>1</v>
      </c>
      <c r="X166" s="44" t="n">
        <v>1</v>
      </c>
      <c r="Y166" s="43" t="n">
        <v>0</v>
      </c>
      <c r="Z166" s="43" t="n">
        <v>0</v>
      </c>
      <c r="AA166" s="44" t="n">
        <v>0</v>
      </c>
      <c r="AB166" s="44" t="n">
        <v>0</v>
      </c>
      <c r="AC166" s="43" t="n">
        <v>0</v>
      </c>
      <c r="AD166" s="43" t="n">
        <v>0</v>
      </c>
      <c r="AE166" s="44" t="n">
        <v>0</v>
      </c>
      <c r="AF166" s="44" t="n">
        <v>0</v>
      </c>
      <c r="AG166" s="43" t="n">
        <v>1</v>
      </c>
      <c r="AH166" s="43" t="n">
        <v>1</v>
      </c>
      <c r="AI166" s="43" t="n">
        <v>0</v>
      </c>
      <c r="AJ166" s="44"/>
      <c r="AK166" s="43" t="n">
        <v>0</v>
      </c>
      <c r="AL166" s="43" t="n">
        <v>5</v>
      </c>
      <c r="AM166" s="45" t="n">
        <v>0.7</v>
      </c>
      <c r="AN166" s="45" t="n">
        <v>0.3</v>
      </c>
      <c r="AO166" s="45" t="n">
        <v>1</v>
      </c>
      <c r="AP166" s="46" t="n">
        <v>1800</v>
      </c>
      <c r="AQ166" s="46" t="n">
        <v>1800</v>
      </c>
    </row>
    <row r="167" customFormat="false" ht="14.25" hidden="false" customHeight="false" outlineLevel="0" collapsed="false">
      <c r="A167" s="51" t="s">
        <v>322</v>
      </c>
      <c r="B167" s="33" t="n">
        <v>45336</v>
      </c>
      <c r="C167" s="34" t="s">
        <v>108</v>
      </c>
      <c r="D167" s="35" t="s">
        <v>148</v>
      </c>
      <c r="E167" s="35" t="s">
        <v>24</v>
      </c>
      <c r="F167" s="48" t="s">
        <v>321</v>
      </c>
      <c r="G167" s="52" t="s">
        <v>307</v>
      </c>
      <c r="H167" s="50" t="s">
        <v>308</v>
      </c>
      <c r="I167" s="50" t="s">
        <v>308</v>
      </c>
      <c r="J167" s="38" t="n">
        <v>22</v>
      </c>
      <c r="K167" s="47" t="n">
        <v>1</v>
      </c>
      <c r="L167" s="47" t="n">
        <v>1</v>
      </c>
      <c r="M167" s="47" t="n">
        <v>1</v>
      </c>
      <c r="N167" s="47" t="n">
        <v>1</v>
      </c>
      <c r="O167" s="40" t="n">
        <v>1</v>
      </c>
      <c r="P167" s="41" t="n">
        <v>1</v>
      </c>
      <c r="Q167" s="42" t="n">
        <v>12</v>
      </c>
      <c r="R167" s="42" t="n">
        <v>4</v>
      </c>
      <c r="S167" s="42" t="n">
        <v>16</v>
      </c>
      <c r="T167" s="42" t="n">
        <v>6</v>
      </c>
      <c r="U167" s="43" t="n">
        <v>0</v>
      </c>
      <c r="V167" s="43" t="n">
        <v>0</v>
      </c>
      <c r="W167" s="44" t="n">
        <v>0</v>
      </c>
      <c r="X167" s="44" t="n">
        <v>0</v>
      </c>
      <c r="Y167" s="43" t="n">
        <v>0</v>
      </c>
      <c r="Z167" s="43" t="n">
        <v>0</v>
      </c>
      <c r="AA167" s="44" t="n">
        <v>0</v>
      </c>
      <c r="AB167" s="44" t="n">
        <v>0</v>
      </c>
      <c r="AC167" s="43" t="n">
        <v>0</v>
      </c>
      <c r="AD167" s="43" t="n">
        <v>0</v>
      </c>
      <c r="AE167" s="44" t="n">
        <v>0</v>
      </c>
      <c r="AF167" s="44" t="n">
        <v>0</v>
      </c>
      <c r="AG167" s="43" t="n">
        <v>1</v>
      </c>
      <c r="AH167" s="43" t="n">
        <v>1</v>
      </c>
      <c r="AI167" s="43" t="n">
        <v>0</v>
      </c>
      <c r="AJ167" s="44"/>
      <c r="AK167" s="43" t="n">
        <v>1</v>
      </c>
      <c r="AL167" s="43" t="n">
        <v>1</v>
      </c>
      <c r="AM167" s="45" t="n">
        <v>0.7</v>
      </c>
      <c r="AN167" s="45" t="n">
        <v>0.3</v>
      </c>
      <c r="AO167" s="45" t="n">
        <v>1</v>
      </c>
      <c r="AP167" s="46" t="n">
        <v>1200</v>
      </c>
      <c r="AQ167" s="46" t="n">
        <v>1200</v>
      </c>
    </row>
    <row r="168" customFormat="false" ht="14.25" hidden="false" customHeight="false" outlineLevel="0" collapsed="false">
      <c r="A168" s="51" t="s">
        <v>323</v>
      </c>
      <c r="B168" s="33" t="n">
        <v>45488</v>
      </c>
      <c r="C168" s="34" t="s">
        <v>108</v>
      </c>
      <c r="D168" s="35" t="s">
        <v>148</v>
      </c>
      <c r="E168" s="35" t="s">
        <v>24</v>
      </c>
      <c r="F168" s="48" t="s">
        <v>321</v>
      </c>
      <c r="G168" s="52" t="s">
        <v>307</v>
      </c>
      <c r="H168" s="50" t="s">
        <v>308</v>
      </c>
      <c r="I168" s="50" t="s">
        <v>308</v>
      </c>
      <c r="J168" s="38" t="n">
        <v>22</v>
      </c>
      <c r="K168" s="47" t="n">
        <v>1</v>
      </c>
      <c r="L168" s="47" t="n">
        <v>1</v>
      </c>
      <c r="M168" s="47" t="n">
        <v>1</v>
      </c>
      <c r="N168" s="47" t="n">
        <v>1</v>
      </c>
      <c r="O168" s="40" t="n">
        <v>1</v>
      </c>
      <c r="P168" s="41" t="n">
        <v>1</v>
      </c>
      <c r="Q168" s="42" t="n">
        <v>12</v>
      </c>
      <c r="R168" s="42" t="n">
        <v>4</v>
      </c>
      <c r="S168" s="42" t="n">
        <v>16</v>
      </c>
      <c r="T168" s="42" t="n">
        <v>6</v>
      </c>
      <c r="U168" s="43" t="n">
        <v>1</v>
      </c>
      <c r="V168" s="43" t="n">
        <v>1</v>
      </c>
      <c r="W168" s="44" t="n">
        <v>1</v>
      </c>
      <c r="X168" s="44" t="n">
        <v>1</v>
      </c>
      <c r="Y168" s="43" t="n">
        <v>1</v>
      </c>
      <c r="Z168" s="43" t="n">
        <v>0</v>
      </c>
      <c r="AA168" s="44" t="n">
        <v>1</v>
      </c>
      <c r="AB168" s="44" t="n">
        <v>1</v>
      </c>
      <c r="AC168" s="43" t="n">
        <v>1</v>
      </c>
      <c r="AD168" s="43" t="n">
        <v>0</v>
      </c>
      <c r="AE168" s="44" t="n">
        <v>1</v>
      </c>
      <c r="AF168" s="44" t="n">
        <v>1</v>
      </c>
      <c r="AG168" s="43" t="n">
        <v>1</v>
      </c>
      <c r="AH168" s="43" t="n">
        <v>3</v>
      </c>
      <c r="AI168" s="43" t="n">
        <v>0</v>
      </c>
      <c r="AJ168" s="44"/>
      <c r="AK168" s="43" t="n">
        <v>0</v>
      </c>
      <c r="AL168" s="43" t="n">
        <v>12</v>
      </c>
      <c r="AM168" s="45" t="n">
        <v>0.7</v>
      </c>
      <c r="AN168" s="45" t="n">
        <v>0.3</v>
      </c>
      <c r="AO168" s="45" t="n">
        <v>1</v>
      </c>
      <c r="AP168" s="46" t="n">
        <v>1200</v>
      </c>
      <c r="AQ168" s="46" t="n">
        <v>1200</v>
      </c>
    </row>
    <row r="169" customFormat="false" ht="14.25" hidden="false" customHeight="false" outlineLevel="0" collapsed="false">
      <c r="A169" s="51" t="s">
        <v>324</v>
      </c>
      <c r="B169" s="33" t="n">
        <v>44118</v>
      </c>
      <c r="C169" s="34" t="s">
        <v>108</v>
      </c>
      <c r="D169" s="35" t="s">
        <v>148</v>
      </c>
      <c r="E169" s="35" t="s">
        <v>24</v>
      </c>
      <c r="F169" s="48" t="s">
        <v>321</v>
      </c>
      <c r="G169" s="52" t="s">
        <v>307</v>
      </c>
      <c r="H169" s="50" t="s">
        <v>308</v>
      </c>
      <c r="I169" s="50" t="s">
        <v>308</v>
      </c>
      <c r="J169" s="38" t="n">
        <v>22</v>
      </c>
      <c r="K169" s="47" t="n">
        <v>1</v>
      </c>
      <c r="L169" s="47" t="n">
        <v>1</v>
      </c>
      <c r="M169" s="47" t="n">
        <v>1</v>
      </c>
      <c r="N169" s="47" t="n">
        <v>1</v>
      </c>
      <c r="O169" s="40" t="n">
        <v>1</v>
      </c>
      <c r="P169" s="41" t="n">
        <v>1</v>
      </c>
      <c r="Q169" s="42" t="n">
        <v>12</v>
      </c>
      <c r="R169" s="42" t="n">
        <v>4</v>
      </c>
      <c r="S169" s="42" t="n">
        <v>16</v>
      </c>
      <c r="T169" s="42" t="n">
        <v>6</v>
      </c>
      <c r="U169" s="43" t="n">
        <v>0</v>
      </c>
      <c r="V169" s="43" t="n">
        <v>0</v>
      </c>
      <c r="W169" s="44" t="n">
        <v>0</v>
      </c>
      <c r="X169" s="44" t="n">
        <v>0</v>
      </c>
      <c r="Y169" s="43" t="n">
        <v>0</v>
      </c>
      <c r="Z169" s="43" t="n">
        <v>0</v>
      </c>
      <c r="AA169" s="44" t="n">
        <v>0</v>
      </c>
      <c r="AB169" s="44" t="n">
        <v>0</v>
      </c>
      <c r="AC169" s="43" t="n">
        <v>0</v>
      </c>
      <c r="AD169" s="43" t="n">
        <v>0</v>
      </c>
      <c r="AE169" s="44" t="n">
        <v>0</v>
      </c>
      <c r="AF169" s="44" t="n">
        <v>0</v>
      </c>
      <c r="AG169" s="43" t="n">
        <v>0</v>
      </c>
      <c r="AH169" s="43" t="n">
        <v>4</v>
      </c>
      <c r="AI169" s="43" t="n">
        <v>0</v>
      </c>
      <c r="AJ169" s="44"/>
      <c r="AK169" s="43" t="n">
        <v>0</v>
      </c>
      <c r="AL169" s="43" t="n">
        <v>0</v>
      </c>
      <c r="AM169" s="45" t="n">
        <v>0.7</v>
      </c>
      <c r="AN169" s="45" t="n">
        <v>0.3</v>
      </c>
      <c r="AO169" s="45" t="n">
        <v>1</v>
      </c>
      <c r="AP169" s="46" t="n">
        <v>1800</v>
      </c>
      <c r="AQ169" s="46" t="n">
        <v>1800</v>
      </c>
    </row>
    <row r="170" customFormat="false" ht="14.25" hidden="false" customHeight="false" outlineLevel="0" collapsed="false">
      <c r="A170" s="51" t="s">
        <v>325</v>
      </c>
      <c r="B170" s="33" t="n">
        <v>44502</v>
      </c>
      <c r="C170" s="34" t="s">
        <v>108</v>
      </c>
      <c r="D170" s="35" t="s">
        <v>148</v>
      </c>
      <c r="E170" s="35" t="s">
        <v>24</v>
      </c>
      <c r="F170" s="48" t="s">
        <v>321</v>
      </c>
      <c r="G170" s="52" t="s">
        <v>307</v>
      </c>
      <c r="H170" s="50" t="s">
        <v>308</v>
      </c>
      <c r="I170" s="50" t="s">
        <v>308</v>
      </c>
      <c r="J170" s="38" t="n">
        <v>22</v>
      </c>
      <c r="K170" s="47" t="n">
        <v>1</v>
      </c>
      <c r="L170" s="47" t="n">
        <v>1</v>
      </c>
      <c r="M170" s="47" t="n">
        <v>1</v>
      </c>
      <c r="N170" s="47" t="n">
        <v>1</v>
      </c>
      <c r="O170" s="40" t="n">
        <v>1</v>
      </c>
      <c r="P170" s="41" t="n">
        <v>1</v>
      </c>
      <c r="Q170" s="42" t="n">
        <v>12</v>
      </c>
      <c r="R170" s="42" t="n">
        <v>4</v>
      </c>
      <c r="S170" s="42" t="n">
        <v>16</v>
      </c>
      <c r="T170" s="42" t="n">
        <v>6</v>
      </c>
      <c r="U170" s="43" t="n">
        <v>1</v>
      </c>
      <c r="V170" s="43" t="n">
        <v>1</v>
      </c>
      <c r="W170" s="44" t="n">
        <v>1</v>
      </c>
      <c r="X170" s="44" t="n">
        <v>1</v>
      </c>
      <c r="Y170" s="43" t="n">
        <v>1</v>
      </c>
      <c r="Z170" s="43" t="n">
        <v>0</v>
      </c>
      <c r="AA170" s="44" t="n">
        <v>1</v>
      </c>
      <c r="AB170" s="44" t="n">
        <v>1</v>
      </c>
      <c r="AC170" s="43" t="n">
        <v>0</v>
      </c>
      <c r="AD170" s="43" t="n">
        <v>1</v>
      </c>
      <c r="AE170" s="44" t="n">
        <v>1</v>
      </c>
      <c r="AF170" s="44" t="n">
        <v>2</v>
      </c>
      <c r="AG170" s="43" t="n">
        <v>2</v>
      </c>
      <c r="AH170" s="43" t="n">
        <v>3</v>
      </c>
      <c r="AI170" s="43" t="n">
        <v>0</v>
      </c>
      <c r="AJ170" s="44"/>
      <c r="AK170" s="43" t="n">
        <v>1</v>
      </c>
      <c r="AL170" s="43" t="n">
        <v>14</v>
      </c>
      <c r="AM170" s="45" t="n">
        <v>0.7</v>
      </c>
      <c r="AN170" s="45" t="n">
        <v>0.3</v>
      </c>
      <c r="AO170" s="45" t="n">
        <v>1</v>
      </c>
      <c r="AP170" s="46" t="n">
        <v>1200</v>
      </c>
      <c r="AQ170" s="46" t="n">
        <v>1200</v>
      </c>
    </row>
    <row r="171" customFormat="false" ht="14.25" hidden="false" customHeight="false" outlineLevel="0" collapsed="false">
      <c r="A171" s="51" t="s">
        <v>326</v>
      </c>
      <c r="B171" s="33" t="n">
        <v>45600</v>
      </c>
      <c r="C171" s="34" t="s">
        <v>108</v>
      </c>
      <c r="D171" s="35" t="s">
        <v>148</v>
      </c>
      <c r="E171" s="35" t="s">
        <v>24</v>
      </c>
      <c r="F171" s="48" t="s">
        <v>321</v>
      </c>
      <c r="G171" s="52" t="s">
        <v>307</v>
      </c>
      <c r="H171" s="50" t="s">
        <v>308</v>
      </c>
      <c r="I171" s="50" t="s">
        <v>308</v>
      </c>
      <c r="J171" s="38" t="n">
        <v>22</v>
      </c>
      <c r="K171" s="47" t="n">
        <v>1</v>
      </c>
      <c r="L171" s="47" t="n">
        <v>1</v>
      </c>
      <c r="M171" s="47" t="n">
        <v>1</v>
      </c>
      <c r="N171" s="47" t="n">
        <v>1</v>
      </c>
      <c r="O171" s="40" t="n">
        <v>1</v>
      </c>
      <c r="P171" s="41" t="n">
        <v>1</v>
      </c>
      <c r="Q171" s="42" t="n">
        <v>12</v>
      </c>
      <c r="R171" s="42" t="n">
        <v>4</v>
      </c>
      <c r="S171" s="42" t="n">
        <v>16</v>
      </c>
      <c r="T171" s="42" t="n">
        <v>6</v>
      </c>
      <c r="U171" s="43" t="n">
        <v>2</v>
      </c>
      <c r="V171" s="43" t="n">
        <v>2</v>
      </c>
      <c r="W171" s="44" t="n">
        <v>2</v>
      </c>
      <c r="X171" s="44" t="n">
        <v>3</v>
      </c>
      <c r="Y171" s="43" t="n">
        <v>1</v>
      </c>
      <c r="Z171" s="43" t="n">
        <v>0</v>
      </c>
      <c r="AA171" s="44" t="n">
        <v>1</v>
      </c>
      <c r="AB171" s="44" t="n">
        <v>1</v>
      </c>
      <c r="AC171" s="43" t="n">
        <v>0</v>
      </c>
      <c r="AD171" s="43" t="n">
        <v>0</v>
      </c>
      <c r="AE171" s="44" t="n">
        <v>0</v>
      </c>
      <c r="AF171" s="44" t="n">
        <v>0</v>
      </c>
      <c r="AG171" s="43" t="n">
        <v>1</v>
      </c>
      <c r="AH171" s="43" t="n">
        <v>0</v>
      </c>
      <c r="AI171" s="43" t="n">
        <v>1</v>
      </c>
      <c r="AJ171" s="44"/>
      <c r="AK171" s="43" t="n">
        <v>0</v>
      </c>
      <c r="AL171" s="43" t="n">
        <v>13</v>
      </c>
      <c r="AM171" s="45" t="n">
        <v>0.7</v>
      </c>
      <c r="AN171" s="45" t="n">
        <v>0.3</v>
      </c>
      <c r="AO171" s="45" t="n">
        <v>1</v>
      </c>
      <c r="AP171" s="46" t="n">
        <v>1800</v>
      </c>
      <c r="AQ171" s="46" t="n">
        <v>1800</v>
      </c>
    </row>
    <row r="172" customFormat="false" ht="14.25" hidden="false" customHeight="false" outlineLevel="0" collapsed="false">
      <c r="A172" s="51" t="s">
        <v>327</v>
      </c>
      <c r="B172" s="33" t="n">
        <v>45809</v>
      </c>
      <c r="C172" s="34" t="s">
        <v>108</v>
      </c>
      <c r="D172" s="35" t="s">
        <v>148</v>
      </c>
      <c r="E172" s="35" t="s">
        <v>24</v>
      </c>
      <c r="F172" s="48" t="s">
        <v>321</v>
      </c>
      <c r="G172" s="52" t="s">
        <v>307</v>
      </c>
      <c r="H172" s="50" t="s">
        <v>308</v>
      </c>
      <c r="I172" s="50" t="s">
        <v>308</v>
      </c>
      <c r="J172" s="38" t="n">
        <v>22</v>
      </c>
      <c r="K172" s="47" t="n">
        <v>1</v>
      </c>
      <c r="L172" s="47" t="n">
        <v>1</v>
      </c>
      <c r="M172" s="47" t="n">
        <v>1</v>
      </c>
      <c r="N172" s="47" t="n">
        <v>1</v>
      </c>
      <c r="O172" s="40" t="n">
        <v>1</v>
      </c>
      <c r="P172" s="41" t="n">
        <v>1</v>
      </c>
      <c r="Q172" s="42" t="n">
        <v>12</v>
      </c>
      <c r="R172" s="42" t="n">
        <v>4</v>
      </c>
      <c r="S172" s="42" t="n">
        <v>16</v>
      </c>
      <c r="T172" s="42" t="n">
        <v>6</v>
      </c>
      <c r="U172" s="43" t="n">
        <v>0</v>
      </c>
      <c r="V172" s="43" t="n">
        <v>0</v>
      </c>
      <c r="W172" s="44" t="n">
        <v>0</v>
      </c>
      <c r="X172" s="44" t="n">
        <v>0</v>
      </c>
      <c r="Y172" s="43" t="n">
        <v>0</v>
      </c>
      <c r="Z172" s="43" t="n">
        <v>0</v>
      </c>
      <c r="AA172" s="44" t="n">
        <v>0</v>
      </c>
      <c r="AB172" s="44" t="n">
        <v>0</v>
      </c>
      <c r="AC172" s="43" t="n">
        <v>0</v>
      </c>
      <c r="AD172" s="43" t="n">
        <v>0</v>
      </c>
      <c r="AE172" s="44" t="n">
        <v>0</v>
      </c>
      <c r="AF172" s="44" t="n">
        <v>0</v>
      </c>
      <c r="AG172" s="43" t="n">
        <v>0</v>
      </c>
      <c r="AH172" s="43" t="n">
        <v>0</v>
      </c>
      <c r="AI172" s="43" t="n">
        <v>0</v>
      </c>
      <c r="AJ172" s="44"/>
      <c r="AK172" s="43" t="n">
        <v>0</v>
      </c>
      <c r="AL172" s="43" t="n">
        <v>0</v>
      </c>
      <c r="AM172" s="45" t="n">
        <v>0.7</v>
      </c>
      <c r="AN172" s="45" t="n">
        <v>0.3</v>
      </c>
      <c r="AO172" s="45" t="n">
        <v>1</v>
      </c>
      <c r="AP172" s="46" t="n">
        <v>1200</v>
      </c>
      <c r="AQ172" s="46" t="n">
        <v>1200</v>
      </c>
    </row>
    <row r="173" customFormat="false" ht="14.25" hidden="false" customHeight="false" outlineLevel="0" collapsed="false">
      <c r="A173" s="51" t="s">
        <v>328</v>
      </c>
      <c r="B173" s="33" t="n">
        <v>45973</v>
      </c>
      <c r="C173" s="34" t="s">
        <v>171</v>
      </c>
      <c r="D173" s="35" t="s">
        <v>148</v>
      </c>
      <c r="E173" s="35" t="s">
        <v>24</v>
      </c>
      <c r="F173" s="48" t="s">
        <v>321</v>
      </c>
      <c r="G173" s="52" t="s">
        <v>307</v>
      </c>
      <c r="H173" s="50" t="s">
        <v>308</v>
      </c>
      <c r="I173" s="50" t="s">
        <v>308</v>
      </c>
      <c r="J173" s="38" t="n">
        <v>11</v>
      </c>
      <c r="K173" s="47" t="n">
        <v>1</v>
      </c>
      <c r="L173" s="47" t="n">
        <v>1</v>
      </c>
      <c r="M173" s="47" t="n">
        <v>0</v>
      </c>
      <c r="N173" s="47" t="n">
        <v>0</v>
      </c>
      <c r="O173" s="40" t="n">
        <v>0.5</v>
      </c>
      <c r="P173" s="41" t="n">
        <v>0.5</v>
      </c>
      <c r="Q173" s="42" t="n">
        <v>6</v>
      </c>
      <c r="R173" s="42" t="n">
        <v>2</v>
      </c>
      <c r="S173" s="42" t="n">
        <v>8</v>
      </c>
      <c r="T173" s="42" t="n">
        <v>3</v>
      </c>
      <c r="U173" s="43" t="n">
        <v>1</v>
      </c>
      <c r="V173" s="43" t="n">
        <v>1</v>
      </c>
      <c r="W173" s="44" t="n">
        <v>0</v>
      </c>
      <c r="X173" s="44" t="n">
        <v>0</v>
      </c>
      <c r="Y173" s="43" t="n">
        <v>0</v>
      </c>
      <c r="Z173" s="43" t="n">
        <v>0</v>
      </c>
      <c r="AA173" s="44" t="n">
        <v>0</v>
      </c>
      <c r="AB173" s="44" t="n">
        <v>0</v>
      </c>
      <c r="AC173" s="43" t="n">
        <v>0</v>
      </c>
      <c r="AD173" s="43" t="n">
        <v>0</v>
      </c>
      <c r="AE173" s="44" t="n">
        <v>0</v>
      </c>
      <c r="AF173" s="44" t="n">
        <v>0</v>
      </c>
      <c r="AG173" s="43" t="n">
        <v>1</v>
      </c>
      <c r="AH173" s="43" t="n">
        <v>3</v>
      </c>
      <c r="AI173" s="43" t="n">
        <v>0</v>
      </c>
      <c r="AJ173" s="44"/>
      <c r="AK173" s="43" t="n">
        <v>0</v>
      </c>
      <c r="AL173" s="43" t="n">
        <v>5</v>
      </c>
      <c r="AM173" s="45" t="n">
        <v>0.7</v>
      </c>
      <c r="AN173" s="45" t="n">
        <v>0.3</v>
      </c>
      <c r="AO173" s="45" t="n">
        <v>0.5</v>
      </c>
      <c r="AP173" s="46" t="n">
        <v>1200</v>
      </c>
      <c r="AQ173" s="46" t="n">
        <v>600</v>
      </c>
    </row>
    <row r="174" customFormat="false" ht="14.25" hidden="false" customHeight="false" outlineLevel="0" collapsed="false">
      <c r="A174" s="51" t="s">
        <v>329</v>
      </c>
      <c r="B174" s="33" t="n">
        <v>44896</v>
      </c>
      <c r="C174" s="34" t="s">
        <v>108</v>
      </c>
      <c r="D174" s="35" t="s">
        <v>148</v>
      </c>
      <c r="E174" s="35" t="s">
        <v>24</v>
      </c>
      <c r="F174" s="48" t="s">
        <v>321</v>
      </c>
      <c r="G174" s="52" t="s">
        <v>307</v>
      </c>
      <c r="H174" s="50" t="s">
        <v>308</v>
      </c>
      <c r="I174" s="50" t="s">
        <v>308</v>
      </c>
      <c r="J174" s="38" t="n">
        <v>16.5</v>
      </c>
      <c r="K174" s="47" t="n">
        <v>1</v>
      </c>
      <c r="L174" s="47" t="n">
        <v>1</v>
      </c>
      <c r="M174" s="47" t="n">
        <v>1</v>
      </c>
      <c r="N174" s="47" t="n">
        <v>0</v>
      </c>
      <c r="O174" s="40" t="n">
        <v>0.75</v>
      </c>
      <c r="P174" s="41" t="n">
        <v>0.75</v>
      </c>
      <c r="Q174" s="42" t="n">
        <v>9</v>
      </c>
      <c r="R174" s="42" t="n">
        <v>3</v>
      </c>
      <c r="S174" s="42" t="n">
        <v>12</v>
      </c>
      <c r="T174" s="42" t="n">
        <v>4</v>
      </c>
      <c r="U174" s="43" t="n">
        <v>1</v>
      </c>
      <c r="V174" s="43" t="n">
        <v>1</v>
      </c>
      <c r="W174" s="44" t="n">
        <v>1</v>
      </c>
      <c r="X174" s="44" t="n">
        <v>0</v>
      </c>
      <c r="Y174" s="43" t="n">
        <v>0</v>
      </c>
      <c r="Z174" s="43" t="n">
        <v>0</v>
      </c>
      <c r="AA174" s="44" t="n">
        <v>0</v>
      </c>
      <c r="AB174" s="44" t="n">
        <v>0</v>
      </c>
      <c r="AC174" s="43" t="n">
        <v>0</v>
      </c>
      <c r="AD174" s="43" t="n">
        <v>0</v>
      </c>
      <c r="AE174" s="44" t="n">
        <v>0</v>
      </c>
      <c r="AF174" s="44" t="n">
        <v>0</v>
      </c>
      <c r="AG174" s="43" t="n">
        <v>4</v>
      </c>
      <c r="AH174" s="43" t="n">
        <v>1</v>
      </c>
      <c r="AI174" s="43" t="n">
        <v>1</v>
      </c>
      <c r="AJ174" s="44"/>
      <c r="AK174" s="43" t="n">
        <v>0</v>
      </c>
      <c r="AL174" s="43" t="n">
        <v>8</v>
      </c>
      <c r="AM174" s="45" t="n">
        <v>0.7</v>
      </c>
      <c r="AN174" s="45" t="n">
        <v>0.3</v>
      </c>
      <c r="AO174" s="45" t="n">
        <v>0.75</v>
      </c>
      <c r="AP174" s="46" t="n">
        <v>1200</v>
      </c>
      <c r="AQ174" s="46" t="n">
        <v>900</v>
      </c>
    </row>
    <row r="175" customFormat="false" ht="14.25" hidden="false" customHeight="false" outlineLevel="0" collapsed="false">
      <c r="A175" s="53" t="s">
        <v>330</v>
      </c>
      <c r="B175" s="33" t="n">
        <v>46038</v>
      </c>
      <c r="C175" s="34" t="s">
        <v>173</v>
      </c>
      <c r="D175" s="35" t="s">
        <v>148</v>
      </c>
      <c r="E175" s="50" t="s">
        <v>25</v>
      </c>
      <c r="F175" s="48" t="s">
        <v>321</v>
      </c>
      <c r="G175" s="53" t="s">
        <v>307</v>
      </c>
      <c r="H175" s="50" t="s">
        <v>308</v>
      </c>
      <c r="I175" s="50" t="s">
        <v>308</v>
      </c>
      <c r="J175" s="38" t="n">
        <v>22</v>
      </c>
      <c r="K175" s="47" t="n">
        <v>1</v>
      </c>
      <c r="L175" s="47" t="n">
        <v>1</v>
      </c>
      <c r="M175" s="47" t="n">
        <v>1</v>
      </c>
      <c r="N175" s="47" t="n">
        <v>1</v>
      </c>
      <c r="O175" s="40" t="n">
        <v>1</v>
      </c>
      <c r="P175" s="41" t="n">
        <v>1</v>
      </c>
      <c r="Q175" s="42" t="n">
        <v>8</v>
      </c>
      <c r="R175" s="42" t="n">
        <v>2</v>
      </c>
      <c r="S175" s="42" t="n">
        <v>10</v>
      </c>
      <c r="T175" s="42" t="n">
        <v>4</v>
      </c>
      <c r="U175" s="43" t="n">
        <v>1</v>
      </c>
      <c r="V175" s="43" t="n">
        <v>1</v>
      </c>
      <c r="W175" s="44" t="n">
        <v>1</v>
      </c>
      <c r="X175" s="44" t="n">
        <v>1</v>
      </c>
      <c r="Y175" s="43" t="n">
        <v>0</v>
      </c>
      <c r="Z175" s="43" t="n">
        <v>0</v>
      </c>
      <c r="AA175" s="44" t="n">
        <v>0</v>
      </c>
      <c r="AB175" s="44" t="n">
        <v>0</v>
      </c>
      <c r="AC175" s="43" t="n">
        <v>0</v>
      </c>
      <c r="AD175" s="43" t="n">
        <v>0</v>
      </c>
      <c r="AE175" s="44" t="n">
        <v>0</v>
      </c>
      <c r="AF175" s="44" t="n">
        <v>0</v>
      </c>
      <c r="AG175" s="43" t="n">
        <v>1</v>
      </c>
      <c r="AH175" s="43" t="n">
        <v>1</v>
      </c>
      <c r="AI175" s="43" t="n">
        <v>0</v>
      </c>
      <c r="AJ175" s="44"/>
      <c r="AK175" s="43" t="n">
        <v>0</v>
      </c>
      <c r="AL175" s="43" t="n">
        <v>6</v>
      </c>
      <c r="AM175" s="45" t="n">
        <v>0.7</v>
      </c>
      <c r="AN175" s="45" t="n">
        <v>0.3</v>
      </c>
      <c r="AO175" s="45" t="n">
        <v>1</v>
      </c>
      <c r="AP175" s="46" t="n">
        <v>1200</v>
      </c>
      <c r="AQ175" s="46" t="n">
        <v>1200</v>
      </c>
    </row>
    <row r="176" customFormat="false" ht="14.25" hidden="false" customHeight="false" outlineLevel="0" collapsed="false">
      <c r="A176" s="53" t="s">
        <v>331</v>
      </c>
      <c r="B176" s="33" t="n">
        <v>46054</v>
      </c>
      <c r="C176" s="34" t="s">
        <v>134</v>
      </c>
      <c r="D176" s="35" t="s">
        <v>148</v>
      </c>
      <c r="E176" s="50" t="s">
        <v>25</v>
      </c>
      <c r="F176" s="48" t="s">
        <v>321</v>
      </c>
      <c r="G176" s="53" t="s">
        <v>307</v>
      </c>
      <c r="H176" s="50" t="s">
        <v>308</v>
      </c>
      <c r="I176" s="50" t="s">
        <v>308</v>
      </c>
      <c r="J176" s="38" t="n">
        <v>22</v>
      </c>
      <c r="K176" s="47" t="n">
        <v>1</v>
      </c>
      <c r="L176" s="47" t="n">
        <v>1</v>
      </c>
      <c r="M176" s="47" t="n">
        <v>1</v>
      </c>
      <c r="N176" s="47" t="n">
        <v>1</v>
      </c>
      <c r="O176" s="40" t="n">
        <v>1</v>
      </c>
      <c r="P176" s="41" t="n">
        <v>1</v>
      </c>
      <c r="Q176" s="42" t="n">
        <v>8</v>
      </c>
      <c r="R176" s="42" t="n">
        <v>2</v>
      </c>
      <c r="S176" s="42" t="n">
        <v>10</v>
      </c>
      <c r="T176" s="42" t="n">
        <v>4</v>
      </c>
      <c r="U176" s="43" t="n">
        <v>0</v>
      </c>
      <c r="V176" s="43" t="n">
        <v>0</v>
      </c>
      <c r="W176" s="44" t="n">
        <v>0</v>
      </c>
      <c r="X176" s="44" t="n">
        <v>0</v>
      </c>
      <c r="Y176" s="43" t="n">
        <v>0</v>
      </c>
      <c r="Z176" s="43" t="n">
        <v>1</v>
      </c>
      <c r="AA176" s="44" t="n">
        <v>1</v>
      </c>
      <c r="AB176" s="44" t="n">
        <v>1</v>
      </c>
      <c r="AC176" s="43" t="n">
        <v>0</v>
      </c>
      <c r="AD176" s="43" t="n">
        <v>0</v>
      </c>
      <c r="AE176" s="44" t="n">
        <v>0</v>
      </c>
      <c r="AF176" s="44" t="n">
        <v>0</v>
      </c>
      <c r="AG176" s="43" t="n">
        <v>1</v>
      </c>
      <c r="AH176" s="43" t="n">
        <v>0</v>
      </c>
      <c r="AI176" s="43" t="n">
        <v>0</v>
      </c>
      <c r="AJ176" s="44"/>
      <c r="AK176" s="43" t="n">
        <v>0</v>
      </c>
      <c r="AL176" s="43" t="n">
        <v>4</v>
      </c>
      <c r="AM176" s="45" t="n">
        <v>0.7</v>
      </c>
      <c r="AN176" s="45" t="n">
        <v>0.3</v>
      </c>
      <c r="AO176" s="45" t="n">
        <v>1</v>
      </c>
      <c r="AP176" s="46" t="n">
        <v>1200</v>
      </c>
      <c r="AQ176" s="46" t="n">
        <v>1200</v>
      </c>
    </row>
    <row r="177" customFormat="false" ht="14.25" hidden="false" customHeight="false" outlineLevel="0" collapsed="false">
      <c r="A177" s="53" t="s">
        <v>332</v>
      </c>
      <c r="B177" s="33" t="n">
        <v>46113</v>
      </c>
      <c r="C177" s="34" t="s">
        <v>140</v>
      </c>
      <c r="D177" s="35" t="s">
        <v>148</v>
      </c>
      <c r="E177" s="50" t="s">
        <v>25</v>
      </c>
      <c r="F177" s="48" t="s">
        <v>321</v>
      </c>
      <c r="G177" s="53" t="s">
        <v>307</v>
      </c>
      <c r="H177" s="50" t="s">
        <v>308</v>
      </c>
      <c r="I177" s="50" t="s">
        <v>308</v>
      </c>
      <c r="J177" s="38" t="n">
        <v>22</v>
      </c>
      <c r="K177" s="47" t="n">
        <v>1</v>
      </c>
      <c r="L177" s="47" t="n">
        <v>1</v>
      </c>
      <c r="M177" s="47" t="n">
        <v>1</v>
      </c>
      <c r="N177" s="47" t="n">
        <v>1</v>
      </c>
      <c r="O177" s="40" t="n">
        <v>1</v>
      </c>
      <c r="P177" s="41" t="n">
        <v>1</v>
      </c>
      <c r="Q177" s="42" t="n">
        <v>8</v>
      </c>
      <c r="R177" s="42" t="n">
        <v>2</v>
      </c>
      <c r="S177" s="42" t="n">
        <v>10</v>
      </c>
      <c r="T177" s="42" t="n">
        <v>4</v>
      </c>
      <c r="U177" s="43" t="n">
        <v>0</v>
      </c>
      <c r="V177" s="43" t="n">
        <v>0</v>
      </c>
      <c r="W177" s="44" t="n">
        <v>0</v>
      </c>
      <c r="X177" s="44" t="n">
        <v>0</v>
      </c>
      <c r="Y177" s="43" t="n">
        <v>1</v>
      </c>
      <c r="Z177" s="43" t="n">
        <v>0</v>
      </c>
      <c r="AA177" s="44" t="n">
        <v>1</v>
      </c>
      <c r="AB177" s="44" t="n">
        <v>1</v>
      </c>
      <c r="AC177" s="43" t="n">
        <v>0</v>
      </c>
      <c r="AD177" s="43" t="n">
        <v>0</v>
      </c>
      <c r="AE177" s="44" t="n">
        <v>0</v>
      </c>
      <c r="AF177" s="44" t="n">
        <v>0</v>
      </c>
      <c r="AG177" s="43" t="n">
        <v>0</v>
      </c>
      <c r="AH177" s="43" t="n">
        <v>0</v>
      </c>
      <c r="AI177" s="43" t="n">
        <v>3</v>
      </c>
      <c r="AJ177" s="44"/>
      <c r="AK177" s="43" t="n">
        <v>0</v>
      </c>
      <c r="AL177" s="43" t="n">
        <v>3</v>
      </c>
      <c r="AM177" s="45" t="n">
        <v>0.7</v>
      </c>
      <c r="AN177" s="45" t="n">
        <v>0.3</v>
      </c>
      <c r="AO177" s="45" t="n">
        <v>1</v>
      </c>
      <c r="AP177" s="46" t="n">
        <v>1200</v>
      </c>
      <c r="AQ177" s="46" t="n">
        <v>1200</v>
      </c>
    </row>
    <row r="178" customFormat="false" ht="14.25" hidden="false" customHeight="false" outlineLevel="0" collapsed="false">
      <c r="A178" s="53" t="s">
        <v>333</v>
      </c>
      <c r="B178" s="33" t="n">
        <v>45001</v>
      </c>
      <c r="C178" s="34" t="s">
        <v>108</v>
      </c>
      <c r="D178" s="35" t="s">
        <v>148</v>
      </c>
      <c r="E178" s="50" t="s">
        <v>25</v>
      </c>
      <c r="F178" s="48" t="s">
        <v>321</v>
      </c>
      <c r="G178" s="53" t="s">
        <v>307</v>
      </c>
      <c r="H178" s="50" t="s">
        <v>308</v>
      </c>
      <c r="I178" s="50" t="s">
        <v>308</v>
      </c>
      <c r="J178" s="38" t="n">
        <v>22</v>
      </c>
      <c r="K178" s="47" t="n">
        <v>1</v>
      </c>
      <c r="L178" s="47" t="n">
        <v>1</v>
      </c>
      <c r="M178" s="47" t="n">
        <v>1</v>
      </c>
      <c r="N178" s="47" t="n">
        <v>1</v>
      </c>
      <c r="O178" s="40" t="n">
        <v>1</v>
      </c>
      <c r="P178" s="41" t="n">
        <v>1</v>
      </c>
      <c r="Q178" s="42" t="n">
        <v>8</v>
      </c>
      <c r="R178" s="42" t="n">
        <v>2</v>
      </c>
      <c r="S178" s="42" t="n">
        <v>10</v>
      </c>
      <c r="T178" s="42" t="n">
        <v>4</v>
      </c>
      <c r="U178" s="43" t="n">
        <v>0</v>
      </c>
      <c r="V178" s="43" t="n">
        <v>0</v>
      </c>
      <c r="W178" s="44" t="n">
        <v>0</v>
      </c>
      <c r="X178" s="44" t="n">
        <v>0</v>
      </c>
      <c r="Y178" s="43" t="n">
        <v>0</v>
      </c>
      <c r="Z178" s="43" t="n">
        <v>0</v>
      </c>
      <c r="AA178" s="44" t="n">
        <v>0</v>
      </c>
      <c r="AB178" s="44" t="n">
        <v>0</v>
      </c>
      <c r="AC178" s="43" t="n">
        <v>0</v>
      </c>
      <c r="AD178" s="43" t="n">
        <v>0</v>
      </c>
      <c r="AE178" s="44" t="n">
        <v>0</v>
      </c>
      <c r="AF178" s="44" t="n">
        <v>0</v>
      </c>
      <c r="AG178" s="43" t="n">
        <v>0</v>
      </c>
      <c r="AH178" s="43" t="n">
        <v>1</v>
      </c>
      <c r="AI178" s="43" t="n">
        <v>1</v>
      </c>
      <c r="AJ178" s="44"/>
      <c r="AK178" s="43" t="n">
        <v>0</v>
      </c>
      <c r="AL178" s="43" t="n">
        <v>1</v>
      </c>
      <c r="AM178" s="45" t="n">
        <v>0.7</v>
      </c>
      <c r="AN178" s="45" t="n">
        <v>0.3</v>
      </c>
      <c r="AO178" s="45" t="n">
        <v>1</v>
      </c>
      <c r="AP178" s="46" t="n">
        <v>1200</v>
      </c>
      <c r="AQ178" s="46" t="n">
        <v>1200</v>
      </c>
    </row>
    <row r="179" customFormat="false" ht="14.25" hidden="false" customHeight="false" outlineLevel="0" collapsed="false">
      <c r="A179" s="53" t="s">
        <v>334</v>
      </c>
      <c r="B179" s="33" t="n">
        <v>44593</v>
      </c>
      <c r="C179" s="34" t="s">
        <v>108</v>
      </c>
      <c r="D179" s="35" t="s">
        <v>148</v>
      </c>
      <c r="E179" s="50" t="s">
        <v>25</v>
      </c>
      <c r="F179" s="48" t="s">
        <v>321</v>
      </c>
      <c r="G179" s="53" t="s">
        <v>307</v>
      </c>
      <c r="H179" s="50" t="s">
        <v>308</v>
      </c>
      <c r="I179" s="50" t="s">
        <v>308</v>
      </c>
      <c r="J179" s="38" t="n">
        <v>11</v>
      </c>
      <c r="K179" s="47" t="n">
        <v>1</v>
      </c>
      <c r="L179" s="47" t="n">
        <v>1</v>
      </c>
      <c r="M179" s="47" t="n">
        <v>0</v>
      </c>
      <c r="N179" s="47" t="n">
        <v>0</v>
      </c>
      <c r="O179" s="40" t="n">
        <v>0.5</v>
      </c>
      <c r="P179" s="41" t="n">
        <v>0.5</v>
      </c>
      <c r="Q179" s="42" t="n">
        <v>4</v>
      </c>
      <c r="R179" s="42" t="n">
        <v>1</v>
      </c>
      <c r="S179" s="42" t="n">
        <v>5</v>
      </c>
      <c r="T179" s="42" t="n">
        <v>3</v>
      </c>
      <c r="U179" s="43" t="n">
        <v>0</v>
      </c>
      <c r="V179" s="43" t="n">
        <v>0</v>
      </c>
      <c r="W179" s="44" t="n">
        <v>0</v>
      </c>
      <c r="X179" s="44" t="n">
        <v>0</v>
      </c>
      <c r="Y179" s="43" t="n">
        <v>0</v>
      </c>
      <c r="Z179" s="43" t="n">
        <v>0</v>
      </c>
      <c r="AA179" s="44" t="n">
        <v>0</v>
      </c>
      <c r="AB179" s="44" t="n">
        <v>0</v>
      </c>
      <c r="AC179" s="43" t="n">
        <v>0</v>
      </c>
      <c r="AD179" s="43" t="n">
        <v>0</v>
      </c>
      <c r="AE179" s="44" t="n">
        <v>0</v>
      </c>
      <c r="AF179" s="44" t="n">
        <v>0</v>
      </c>
      <c r="AG179" s="43" t="n">
        <v>1</v>
      </c>
      <c r="AH179" s="43" t="n">
        <v>0</v>
      </c>
      <c r="AI179" s="43" t="n">
        <v>0</v>
      </c>
      <c r="AJ179" s="44"/>
      <c r="AK179" s="43" t="n">
        <v>0</v>
      </c>
      <c r="AL179" s="43" t="n">
        <v>0</v>
      </c>
      <c r="AM179" s="45" t="n">
        <v>0.7</v>
      </c>
      <c r="AN179" s="45" t="n">
        <v>0.3</v>
      </c>
      <c r="AO179" s="45" t="n">
        <v>0.5</v>
      </c>
      <c r="AP179" s="46" t="n">
        <v>1200</v>
      </c>
      <c r="AQ179" s="46" t="n">
        <v>600</v>
      </c>
    </row>
    <row r="180" customFormat="false" ht="14.25" hidden="false" customHeight="false" outlineLevel="0" collapsed="false">
      <c r="A180" s="53" t="s">
        <v>335</v>
      </c>
      <c r="B180" s="33" t="n">
        <v>43302</v>
      </c>
      <c r="C180" s="34" t="s">
        <v>108</v>
      </c>
      <c r="D180" s="35" t="s">
        <v>29</v>
      </c>
      <c r="E180" s="50" t="s">
        <v>29</v>
      </c>
      <c r="F180" s="48" t="s">
        <v>336</v>
      </c>
      <c r="G180" s="53" t="s">
        <v>307</v>
      </c>
      <c r="H180" s="50" t="s">
        <v>308</v>
      </c>
      <c r="I180" s="50" t="s">
        <v>308</v>
      </c>
      <c r="J180" s="38" t="n">
        <v>11</v>
      </c>
      <c r="K180" s="47" t="n">
        <v>1</v>
      </c>
      <c r="L180" s="47" t="n">
        <v>1</v>
      </c>
      <c r="M180" s="47" t="n">
        <v>0</v>
      </c>
      <c r="N180" s="47" t="n">
        <v>0</v>
      </c>
      <c r="O180" s="40" t="n">
        <v>0.5</v>
      </c>
      <c r="P180" s="41" t="n">
        <v>0.5</v>
      </c>
      <c r="Q180" s="42" t="n">
        <v>9</v>
      </c>
      <c r="R180" s="42" t="n">
        <v>2</v>
      </c>
      <c r="S180" s="42" t="n">
        <v>11</v>
      </c>
      <c r="T180" s="42" t="n">
        <v>5</v>
      </c>
      <c r="U180" s="43" t="n">
        <v>8</v>
      </c>
      <c r="V180" s="43" t="n">
        <v>8</v>
      </c>
      <c r="W180" s="44" t="n">
        <v>0</v>
      </c>
      <c r="X180" s="44" t="n">
        <v>0</v>
      </c>
      <c r="Y180" s="43" t="n">
        <v>0</v>
      </c>
      <c r="Z180" s="43" t="n">
        <v>0</v>
      </c>
      <c r="AA180" s="44" t="n">
        <v>0</v>
      </c>
      <c r="AB180" s="44" t="n">
        <v>0</v>
      </c>
      <c r="AC180" s="43" t="n">
        <v>0</v>
      </c>
      <c r="AD180" s="43" t="n">
        <v>0</v>
      </c>
      <c r="AE180" s="44" t="n">
        <v>0</v>
      </c>
      <c r="AF180" s="44" t="n">
        <v>0</v>
      </c>
      <c r="AG180" s="43" t="n">
        <v>0</v>
      </c>
      <c r="AH180" s="43" t="n">
        <v>2</v>
      </c>
      <c r="AI180" s="43" t="n">
        <v>0</v>
      </c>
      <c r="AJ180" s="44"/>
      <c r="AK180" s="43" t="n">
        <v>0</v>
      </c>
      <c r="AL180" s="43" t="n">
        <v>18</v>
      </c>
      <c r="AM180" s="45" t="n">
        <v>0.7</v>
      </c>
      <c r="AN180" s="45" t="n">
        <v>0.3</v>
      </c>
      <c r="AO180" s="45" t="n">
        <v>0.5</v>
      </c>
      <c r="AP180" s="46" t="n">
        <v>1200</v>
      </c>
      <c r="AQ180" s="46" t="n">
        <v>600</v>
      </c>
    </row>
    <row r="181" customFormat="false" ht="14.25" hidden="false" customHeight="false" outlineLevel="0" collapsed="false">
      <c r="A181" s="53" t="s">
        <v>337</v>
      </c>
      <c r="B181" s="33" t="n">
        <v>45323</v>
      </c>
      <c r="C181" s="34" t="s">
        <v>108</v>
      </c>
      <c r="D181" s="35" t="s">
        <v>29</v>
      </c>
      <c r="E181" s="50" t="s">
        <v>29</v>
      </c>
      <c r="F181" s="48" t="s">
        <v>336</v>
      </c>
      <c r="G181" s="53" t="s">
        <v>307</v>
      </c>
      <c r="H181" s="50" t="s">
        <v>308</v>
      </c>
      <c r="I181" s="50" t="s">
        <v>308</v>
      </c>
      <c r="J181" s="38" t="n">
        <v>22</v>
      </c>
      <c r="K181" s="47" t="n">
        <v>1</v>
      </c>
      <c r="L181" s="47" t="n">
        <v>1</v>
      </c>
      <c r="M181" s="47" t="n">
        <v>1</v>
      </c>
      <c r="N181" s="47" t="n">
        <v>1</v>
      </c>
      <c r="O181" s="40" t="n">
        <v>1</v>
      </c>
      <c r="P181" s="41" t="n">
        <v>1</v>
      </c>
      <c r="Q181" s="42" t="n">
        <v>17</v>
      </c>
      <c r="R181" s="42" t="n">
        <v>5</v>
      </c>
      <c r="S181" s="42" t="n">
        <v>22</v>
      </c>
      <c r="T181" s="42" t="n">
        <v>9</v>
      </c>
      <c r="U181" s="43" t="n">
        <v>9</v>
      </c>
      <c r="V181" s="43" t="n">
        <v>9</v>
      </c>
      <c r="W181" s="44" t="n">
        <v>11</v>
      </c>
      <c r="X181" s="44" t="n">
        <v>13</v>
      </c>
      <c r="Y181" s="43" t="n">
        <v>0</v>
      </c>
      <c r="Z181" s="43" t="n">
        <v>0</v>
      </c>
      <c r="AA181" s="44" t="n">
        <v>0</v>
      </c>
      <c r="AB181" s="44" t="n">
        <v>0</v>
      </c>
      <c r="AC181" s="43" t="n">
        <v>0</v>
      </c>
      <c r="AD181" s="43" t="n">
        <v>0</v>
      </c>
      <c r="AE181" s="44" t="n">
        <v>0</v>
      </c>
      <c r="AF181" s="44" t="n">
        <v>0</v>
      </c>
      <c r="AG181" s="43" t="n">
        <v>0</v>
      </c>
      <c r="AH181" s="43" t="n">
        <v>1</v>
      </c>
      <c r="AI181" s="43" t="n">
        <v>0</v>
      </c>
      <c r="AJ181" s="44"/>
      <c r="AK181" s="43" t="n">
        <v>0</v>
      </c>
      <c r="AL181" s="43" t="n">
        <v>42</v>
      </c>
      <c r="AM181" s="45" t="n">
        <v>0.7</v>
      </c>
      <c r="AN181" s="45" t="n">
        <v>0.3</v>
      </c>
      <c r="AO181" s="45" t="n">
        <v>1</v>
      </c>
      <c r="AP181" s="46" t="n">
        <v>1200</v>
      </c>
      <c r="AQ181" s="46" t="n">
        <v>1200</v>
      </c>
    </row>
    <row r="182" customFormat="false" ht="14.25" hidden="false" customHeight="false" outlineLevel="0" collapsed="false">
      <c r="A182" s="53" t="s">
        <v>338</v>
      </c>
      <c r="B182" s="33" t="n">
        <v>44013</v>
      </c>
      <c r="C182" s="34" t="s">
        <v>108</v>
      </c>
      <c r="D182" s="35" t="s">
        <v>29</v>
      </c>
      <c r="E182" s="50" t="s">
        <v>29</v>
      </c>
      <c r="F182" s="48" t="s">
        <v>336</v>
      </c>
      <c r="G182" s="53" t="s">
        <v>307</v>
      </c>
      <c r="H182" s="50" t="s">
        <v>308</v>
      </c>
      <c r="I182" s="50" t="s">
        <v>308</v>
      </c>
      <c r="J182" s="38" t="n">
        <v>22</v>
      </c>
      <c r="K182" s="47" t="n">
        <v>1</v>
      </c>
      <c r="L182" s="47" t="n">
        <v>1</v>
      </c>
      <c r="M182" s="47" t="n">
        <v>1</v>
      </c>
      <c r="N182" s="47" t="n">
        <v>1</v>
      </c>
      <c r="O182" s="40" t="n">
        <v>1</v>
      </c>
      <c r="P182" s="41" t="n">
        <v>1</v>
      </c>
      <c r="Q182" s="42" t="n">
        <v>17</v>
      </c>
      <c r="R182" s="42" t="n">
        <v>5</v>
      </c>
      <c r="S182" s="42" t="n">
        <v>22</v>
      </c>
      <c r="T182" s="42" t="n">
        <v>6</v>
      </c>
      <c r="U182" s="43" t="n">
        <v>10</v>
      </c>
      <c r="V182" s="43" t="n">
        <v>10</v>
      </c>
      <c r="W182" s="44" t="n">
        <v>12</v>
      </c>
      <c r="X182" s="44" t="n">
        <v>15</v>
      </c>
      <c r="Y182" s="43" t="n">
        <v>0</v>
      </c>
      <c r="Z182" s="43" t="n">
        <v>0</v>
      </c>
      <c r="AA182" s="44" t="n">
        <v>0</v>
      </c>
      <c r="AB182" s="44" t="n">
        <v>0</v>
      </c>
      <c r="AC182" s="43" t="n">
        <v>0</v>
      </c>
      <c r="AD182" s="43" t="n">
        <v>0</v>
      </c>
      <c r="AE182" s="44" t="n">
        <v>0</v>
      </c>
      <c r="AF182" s="44" t="n">
        <v>0</v>
      </c>
      <c r="AG182" s="43" t="n">
        <v>0</v>
      </c>
      <c r="AH182" s="43" t="n">
        <v>2</v>
      </c>
      <c r="AI182" s="43" t="n">
        <v>0</v>
      </c>
      <c r="AJ182" s="44"/>
      <c r="AK182" s="43" t="n">
        <v>0</v>
      </c>
      <c r="AL182" s="43" t="n">
        <v>49</v>
      </c>
      <c r="AM182" s="45" t="n">
        <v>0.7</v>
      </c>
      <c r="AN182" s="45" t="n">
        <v>0.3</v>
      </c>
      <c r="AO182" s="45" t="n">
        <v>1</v>
      </c>
      <c r="AP182" s="46" t="n">
        <v>1800</v>
      </c>
      <c r="AQ182" s="46" t="n">
        <v>1800</v>
      </c>
    </row>
    <row r="183" customFormat="false" ht="14.25" hidden="false" customHeight="false" outlineLevel="0" collapsed="false">
      <c r="A183" s="53" t="s">
        <v>339</v>
      </c>
      <c r="B183" s="33" t="n">
        <v>43160</v>
      </c>
      <c r="C183" s="34" t="s">
        <v>108</v>
      </c>
      <c r="D183" s="35" t="s">
        <v>29</v>
      </c>
      <c r="E183" s="50" t="s">
        <v>29</v>
      </c>
      <c r="F183" s="48" t="s">
        <v>336</v>
      </c>
      <c r="G183" s="53" t="s">
        <v>307</v>
      </c>
      <c r="H183" s="50" t="s">
        <v>308</v>
      </c>
      <c r="I183" s="50" t="s">
        <v>308</v>
      </c>
      <c r="J183" s="38" t="n">
        <v>22</v>
      </c>
      <c r="K183" s="47" t="n">
        <v>1</v>
      </c>
      <c r="L183" s="47" t="n">
        <v>1</v>
      </c>
      <c r="M183" s="47" t="n">
        <v>1</v>
      </c>
      <c r="N183" s="47" t="n">
        <v>1</v>
      </c>
      <c r="O183" s="40" t="n">
        <v>1</v>
      </c>
      <c r="P183" s="41" t="n">
        <v>1</v>
      </c>
      <c r="Q183" s="42" t="n">
        <v>17</v>
      </c>
      <c r="R183" s="42" t="n">
        <v>5</v>
      </c>
      <c r="S183" s="42" t="n">
        <v>22</v>
      </c>
      <c r="T183" s="42" t="n">
        <v>8</v>
      </c>
      <c r="U183" s="43" t="n">
        <v>12</v>
      </c>
      <c r="V183" s="43" t="n">
        <v>12</v>
      </c>
      <c r="W183" s="44" t="n">
        <v>14</v>
      </c>
      <c r="X183" s="44" t="n">
        <v>17</v>
      </c>
      <c r="Y183" s="43" t="n">
        <v>0</v>
      </c>
      <c r="Z183" s="43" t="n">
        <v>0</v>
      </c>
      <c r="AA183" s="44" t="n">
        <v>0</v>
      </c>
      <c r="AB183" s="44" t="n">
        <v>0</v>
      </c>
      <c r="AC183" s="43" t="n">
        <v>0</v>
      </c>
      <c r="AD183" s="43" t="n">
        <v>0</v>
      </c>
      <c r="AE183" s="44" t="n">
        <v>0</v>
      </c>
      <c r="AF183" s="44" t="n">
        <v>0</v>
      </c>
      <c r="AG183" s="43" t="n">
        <v>1</v>
      </c>
      <c r="AH183" s="43" t="n">
        <v>1</v>
      </c>
      <c r="AI183" s="43" t="n">
        <v>0</v>
      </c>
      <c r="AJ183" s="44"/>
      <c r="AK183" s="43" t="n">
        <v>0</v>
      </c>
      <c r="AL183" s="43" t="n">
        <v>56</v>
      </c>
      <c r="AM183" s="45" t="n">
        <v>0.7</v>
      </c>
      <c r="AN183" s="45" t="n">
        <v>0.3</v>
      </c>
      <c r="AO183" s="45" t="n">
        <v>1</v>
      </c>
      <c r="AP183" s="46" t="n">
        <v>1200</v>
      </c>
      <c r="AQ183" s="46" t="n">
        <v>1200</v>
      </c>
    </row>
    <row r="184" customFormat="false" ht="14.25" hidden="false" customHeight="false" outlineLevel="0" collapsed="false">
      <c r="A184" s="53" t="s">
        <v>340</v>
      </c>
      <c r="B184" s="33" t="n">
        <v>42632</v>
      </c>
      <c r="C184" s="34" t="s">
        <v>108</v>
      </c>
      <c r="D184" s="35" t="s">
        <v>29</v>
      </c>
      <c r="E184" s="50" t="s">
        <v>29</v>
      </c>
      <c r="F184" s="48" t="s">
        <v>336</v>
      </c>
      <c r="G184" s="53" t="s">
        <v>307</v>
      </c>
      <c r="H184" s="50" t="s">
        <v>308</v>
      </c>
      <c r="I184" s="50" t="s">
        <v>308</v>
      </c>
      <c r="J184" s="38" t="n">
        <v>11</v>
      </c>
      <c r="K184" s="47" t="n">
        <v>1</v>
      </c>
      <c r="L184" s="47" t="n">
        <v>1</v>
      </c>
      <c r="M184" s="47" t="n">
        <v>0</v>
      </c>
      <c r="N184" s="47" t="n">
        <v>0</v>
      </c>
      <c r="O184" s="40" t="n">
        <v>0.5</v>
      </c>
      <c r="P184" s="41" t="n">
        <v>0.5</v>
      </c>
      <c r="Q184" s="42" t="n">
        <v>9</v>
      </c>
      <c r="R184" s="42" t="n">
        <v>2</v>
      </c>
      <c r="S184" s="42" t="n">
        <v>11</v>
      </c>
      <c r="T184" s="42" t="n">
        <v>4</v>
      </c>
      <c r="U184" s="43" t="n">
        <v>6</v>
      </c>
      <c r="V184" s="43" t="n">
        <v>6</v>
      </c>
      <c r="W184" s="44" t="n">
        <v>0</v>
      </c>
      <c r="X184" s="44" t="n">
        <v>0</v>
      </c>
      <c r="Y184" s="43" t="n">
        <v>0</v>
      </c>
      <c r="Z184" s="43" t="n">
        <v>0</v>
      </c>
      <c r="AA184" s="44" t="n">
        <v>0</v>
      </c>
      <c r="AB184" s="44" t="n">
        <v>0</v>
      </c>
      <c r="AC184" s="43" t="n">
        <v>0</v>
      </c>
      <c r="AD184" s="43" t="n">
        <v>0</v>
      </c>
      <c r="AE184" s="44" t="n">
        <v>0</v>
      </c>
      <c r="AF184" s="44" t="n">
        <v>0</v>
      </c>
      <c r="AG184" s="43" t="n">
        <v>1</v>
      </c>
      <c r="AH184" s="43" t="n">
        <v>0</v>
      </c>
      <c r="AI184" s="43" t="n">
        <v>0</v>
      </c>
      <c r="AJ184" s="44"/>
      <c r="AK184" s="43" t="n">
        <v>0</v>
      </c>
      <c r="AL184" s="43" t="n">
        <v>13</v>
      </c>
      <c r="AM184" s="45" t="n">
        <v>0.7</v>
      </c>
      <c r="AN184" s="45" t="n">
        <v>0.3</v>
      </c>
      <c r="AO184" s="45" t="n">
        <v>0.5</v>
      </c>
      <c r="AP184" s="46" t="n">
        <v>1200</v>
      </c>
      <c r="AQ184" s="46" t="n">
        <v>600</v>
      </c>
    </row>
    <row r="185" customFormat="false" ht="14.25" hidden="false" customHeight="false" outlineLevel="0" collapsed="false">
      <c r="A185" s="53" t="s">
        <v>341</v>
      </c>
      <c r="B185" s="33" t="n">
        <v>44440</v>
      </c>
      <c r="C185" s="34" t="s">
        <v>108</v>
      </c>
      <c r="D185" s="35" t="s">
        <v>186</v>
      </c>
      <c r="E185" s="50" t="s">
        <v>27</v>
      </c>
      <c r="F185" s="48" t="s">
        <v>336</v>
      </c>
      <c r="G185" s="53" t="s">
        <v>307</v>
      </c>
      <c r="H185" s="50" t="s">
        <v>308</v>
      </c>
      <c r="I185" s="50" t="s">
        <v>308</v>
      </c>
      <c r="J185" s="38" t="n">
        <v>22</v>
      </c>
      <c r="K185" s="47" t="n">
        <v>1</v>
      </c>
      <c r="L185" s="47" t="n">
        <v>1</v>
      </c>
      <c r="M185" s="47" t="n">
        <v>1</v>
      </c>
      <c r="N185" s="47" t="n">
        <v>1</v>
      </c>
      <c r="O185" s="40" t="n">
        <v>1</v>
      </c>
      <c r="P185" s="41" t="n">
        <v>1</v>
      </c>
      <c r="Q185" s="42" t="n">
        <v>4</v>
      </c>
      <c r="R185" s="42" t="n">
        <v>1</v>
      </c>
      <c r="S185" s="42" t="n">
        <v>5</v>
      </c>
      <c r="T185" s="42" t="n">
        <v>2</v>
      </c>
      <c r="U185" s="43" t="n">
        <v>1</v>
      </c>
      <c r="V185" s="43" t="n">
        <v>1</v>
      </c>
      <c r="W185" s="44" t="n">
        <v>1</v>
      </c>
      <c r="X185" s="44" t="n">
        <v>1</v>
      </c>
      <c r="Y185" s="43" t="n">
        <v>0</v>
      </c>
      <c r="Z185" s="43" t="n">
        <v>0</v>
      </c>
      <c r="AA185" s="44" t="n">
        <v>0</v>
      </c>
      <c r="AB185" s="44" t="n">
        <v>0</v>
      </c>
      <c r="AC185" s="43" t="n">
        <v>0</v>
      </c>
      <c r="AD185" s="43" t="n">
        <v>0</v>
      </c>
      <c r="AE185" s="44" t="n">
        <v>0</v>
      </c>
      <c r="AF185" s="44" t="n">
        <v>0</v>
      </c>
      <c r="AG185" s="43" t="n">
        <v>1</v>
      </c>
      <c r="AH185" s="43" t="n">
        <v>0</v>
      </c>
      <c r="AI185" s="43" t="n">
        <v>0</v>
      </c>
      <c r="AJ185" s="44"/>
      <c r="AK185" s="43" t="n">
        <v>1</v>
      </c>
      <c r="AL185" s="43" t="n">
        <v>6</v>
      </c>
      <c r="AM185" s="45" t="n">
        <v>0.7</v>
      </c>
      <c r="AN185" s="45" t="n">
        <v>0.3</v>
      </c>
      <c r="AO185" s="45" t="n">
        <v>1</v>
      </c>
      <c r="AP185" s="46" t="n">
        <v>1200</v>
      </c>
      <c r="AQ185" s="46" t="n">
        <v>1200</v>
      </c>
    </row>
    <row r="186" customFormat="false" ht="14.25" hidden="false" customHeight="false" outlineLevel="0" collapsed="false">
      <c r="A186" s="53" t="s">
        <v>342</v>
      </c>
      <c r="B186" s="33" t="n">
        <v>46097</v>
      </c>
      <c r="C186" s="34" t="s">
        <v>219</v>
      </c>
      <c r="D186" s="50" t="s">
        <v>186</v>
      </c>
      <c r="E186" s="50" t="s">
        <v>27</v>
      </c>
      <c r="F186" s="48" t="s">
        <v>336</v>
      </c>
      <c r="G186" s="53" t="s">
        <v>307</v>
      </c>
      <c r="H186" s="50" t="s">
        <v>308</v>
      </c>
      <c r="I186" s="50" t="s">
        <v>308</v>
      </c>
      <c r="J186" s="38" t="n">
        <v>22</v>
      </c>
      <c r="K186" s="47" t="n">
        <v>1</v>
      </c>
      <c r="L186" s="47" t="n">
        <v>1</v>
      </c>
      <c r="M186" s="47" t="n">
        <v>1</v>
      </c>
      <c r="N186" s="47" t="n">
        <v>1</v>
      </c>
      <c r="O186" s="40" t="n">
        <v>1</v>
      </c>
      <c r="P186" s="41" t="n">
        <v>1</v>
      </c>
      <c r="Q186" s="42" t="n">
        <v>4</v>
      </c>
      <c r="R186" s="42" t="n">
        <v>1</v>
      </c>
      <c r="S186" s="42" t="n">
        <v>5</v>
      </c>
      <c r="T186" s="42" t="n">
        <v>2</v>
      </c>
      <c r="U186" s="43" t="n">
        <v>0</v>
      </c>
      <c r="V186" s="43" t="n">
        <v>0</v>
      </c>
      <c r="W186" s="44" t="n">
        <v>0</v>
      </c>
      <c r="X186" s="44" t="n">
        <v>0</v>
      </c>
      <c r="Y186" s="43" t="n">
        <v>0</v>
      </c>
      <c r="Z186" s="43" t="n">
        <v>0</v>
      </c>
      <c r="AA186" s="44" t="n">
        <v>0</v>
      </c>
      <c r="AB186" s="44" t="n">
        <v>0</v>
      </c>
      <c r="AC186" s="43" t="n">
        <v>0</v>
      </c>
      <c r="AD186" s="43" t="n">
        <v>0</v>
      </c>
      <c r="AE186" s="44" t="n">
        <v>0</v>
      </c>
      <c r="AF186" s="44" t="n">
        <v>0</v>
      </c>
      <c r="AG186" s="43" t="n">
        <v>0</v>
      </c>
      <c r="AH186" s="43" t="n">
        <v>0</v>
      </c>
      <c r="AI186" s="43" t="n">
        <v>0</v>
      </c>
      <c r="AJ186" s="44"/>
      <c r="AK186" s="43" t="n">
        <v>0</v>
      </c>
      <c r="AL186" s="43" t="n">
        <v>0</v>
      </c>
      <c r="AM186" s="45" t="n">
        <v>0.7</v>
      </c>
      <c r="AN186" s="45" t="n">
        <v>0.3</v>
      </c>
      <c r="AO186" s="45" t="n">
        <v>1</v>
      </c>
      <c r="AP186" s="46" t="n">
        <v>1200</v>
      </c>
      <c r="AQ186" s="46" t="n">
        <v>1200</v>
      </c>
    </row>
    <row r="187" customFormat="false" ht="14.25" hidden="false" customHeight="false" outlineLevel="0" collapsed="false">
      <c r="A187" s="53" t="s">
        <v>343</v>
      </c>
      <c r="B187" s="33" t="n">
        <v>45809</v>
      </c>
      <c r="C187" s="34" t="s">
        <v>108</v>
      </c>
      <c r="D187" s="50" t="s">
        <v>186</v>
      </c>
      <c r="E187" s="50" t="s">
        <v>27</v>
      </c>
      <c r="F187" s="48" t="s">
        <v>336</v>
      </c>
      <c r="G187" s="53" t="s">
        <v>307</v>
      </c>
      <c r="H187" s="50" t="s">
        <v>308</v>
      </c>
      <c r="I187" s="50" t="s">
        <v>308</v>
      </c>
      <c r="J187" s="38" t="n">
        <v>11</v>
      </c>
      <c r="K187" s="47" t="n">
        <v>0</v>
      </c>
      <c r="L187" s="47" t="n">
        <v>0</v>
      </c>
      <c r="M187" s="47" t="n">
        <v>1</v>
      </c>
      <c r="N187" s="47" t="n">
        <v>1</v>
      </c>
      <c r="O187" s="40" t="n">
        <v>0.5</v>
      </c>
      <c r="P187" s="41" t="n">
        <v>0.5</v>
      </c>
      <c r="Q187" s="42" t="n">
        <v>2</v>
      </c>
      <c r="R187" s="42" t="n">
        <v>1</v>
      </c>
      <c r="S187" s="42" t="n">
        <v>3</v>
      </c>
      <c r="T187" s="42" t="n">
        <v>1</v>
      </c>
      <c r="U187" s="43" t="n">
        <v>1</v>
      </c>
      <c r="V187" s="43" t="n">
        <v>1</v>
      </c>
      <c r="W187" s="44" t="n">
        <v>1</v>
      </c>
      <c r="X187" s="44" t="n">
        <v>1</v>
      </c>
      <c r="Y187" s="43" t="n">
        <v>0</v>
      </c>
      <c r="Z187" s="43" t="n">
        <v>0</v>
      </c>
      <c r="AA187" s="44" t="n">
        <v>0</v>
      </c>
      <c r="AB187" s="44" t="n">
        <v>0</v>
      </c>
      <c r="AC187" s="43" t="n">
        <v>0</v>
      </c>
      <c r="AD187" s="43" t="n">
        <v>0</v>
      </c>
      <c r="AE187" s="44" t="n">
        <v>0</v>
      </c>
      <c r="AF187" s="44" t="n">
        <v>0</v>
      </c>
      <c r="AG187" s="43" t="n">
        <v>0</v>
      </c>
      <c r="AH187" s="43" t="n">
        <v>0</v>
      </c>
      <c r="AI187" s="43" t="n">
        <v>0</v>
      </c>
      <c r="AJ187" s="44"/>
      <c r="AK187" s="43" t="n">
        <v>0</v>
      </c>
      <c r="AL187" s="43" t="n">
        <v>4</v>
      </c>
      <c r="AM187" s="45" t="n">
        <v>0.7</v>
      </c>
      <c r="AN187" s="45" t="n">
        <v>0.3</v>
      </c>
      <c r="AO187" s="45" t="n">
        <v>0.5</v>
      </c>
      <c r="AP187" s="46" t="n">
        <v>1200</v>
      </c>
      <c r="AQ187" s="46" t="n">
        <v>600</v>
      </c>
    </row>
    <row r="188" customFormat="false" ht="14.25" hidden="false" customHeight="false" outlineLevel="0" collapsed="false">
      <c r="A188" s="53" t="s">
        <v>344</v>
      </c>
      <c r="B188" s="33" t="n">
        <v>45364</v>
      </c>
      <c r="C188" s="34" t="s">
        <v>108</v>
      </c>
      <c r="D188" s="50" t="s">
        <v>148</v>
      </c>
      <c r="E188" s="50" t="s">
        <v>24</v>
      </c>
      <c r="F188" s="48" t="s">
        <v>345</v>
      </c>
      <c r="G188" s="53" t="s">
        <v>346</v>
      </c>
      <c r="H188" s="35" t="s">
        <v>347</v>
      </c>
      <c r="I188" s="35" t="s">
        <v>347</v>
      </c>
      <c r="J188" s="38" t="n">
        <v>5.5</v>
      </c>
      <c r="K188" s="47" t="n">
        <v>0</v>
      </c>
      <c r="L188" s="47" t="n">
        <v>0</v>
      </c>
      <c r="M188" s="47" t="n">
        <v>0</v>
      </c>
      <c r="N188" s="47" t="n">
        <v>1</v>
      </c>
      <c r="O188" s="40" t="n">
        <v>0.25</v>
      </c>
      <c r="P188" s="41" t="n">
        <v>0.25</v>
      </c>
      <c r="Q188" s="42" t="n">
        <v>3</v>
      </c>
      <c r="R188" s="42" t="n">
        <v>1</v>
      </c>
      <c r="S188" s="42" t="n">
        <v>4</v>
      </c>
      <c r="T188" s="42" t="n">
        <v>1</v>
      </c>
      <c r="U188" s="43" t="n">
        <v>0</v>
      </c>
      <c r="V188" s="43" t="n">
        <v>0</v>
      </c>
      <c r="W188" s="44" t="n">
        <v>0</v>
      </c>
      <c r="X188" s="44" t="n">
        <v>0</v>
      </c>
      <c r="Y188" s="43" t="n">
        <v>0</v>
      </c>
      <c r="Z188" s="43" t="n">
        <v>0</v>
      </c>
      <c r="AA188" s="44" t="n">
        <v>0</v>
      </c>
      <c r="AB188" s="44" t="n">
        <v>0</v>
      </c>
      <c r="AC188" s="43" t="n">
        <v>0</v>
      </c>
      <c r="AD188" s="43" t="n">
        <v>0</v>
      </c>
      <c r="AE188" s="44" t="n">
        <v>0</v>
      </c>
      <c r="AF188" s="44" t="n">
        <v>0</v>
      </c>
      <c r="AG188" s="43" t="n">
        <v>0</v>
      </c>
      <c r="AH188" s="43" t="n">
        <v>0</v>
      </c>
      <c r="AI188" s="43" t="n">
        <v>0</v>
      </c>
      <c r="AJ188" s="44"/>
      <c r="AK188" s="43" t="n">
        <v>0</v>
      </c>
      <c r="AL188" s="43" t="n">
        <v>0</v>
      </c>
      <c r="AM188" s="45" t="n">
        <v>0.7</v>
      </c>
      <c r="AN188" s="45" t="n">
        <v>0.3</v>
      </c>
      <c r="AO188" s="45" t="n">
        <v>0.25</v>
      </c>
      <c r="AP188" s="46" t="n">
        <v>1200</v>
      </c>
      <c r="AQ188" s="46" t="n">
        <v>300</v>
      </c>
    </row>
    <row r="189" customFormat="false" ht="14.25" hidden="false" customHeight="false" outlineLevel="0" collapsed="false">
      <c r="A189" s="53" t="s">
        <v>348</v>
      </c>
      <c r="B189" s="33" t="n">
        <v>44655</v>
      </c>
      <c r="C189" s="34" t="s">
        <v>108</v>
      </c>
      <c r="D189" s="50" t="s">
        <v>148</v>
      </c>
      <c r="E189" s="50" t="s">
        <v>24</v>
      </c>
      <c r="F189" s="48" t="s">
        <v>345</v>
      </c>
      <c r="G189" s="53" t="s">
        <v>346</v>
      </c>
      <c r="H189" s="35" t="s">
        <v>347</v>
      </c>
      <c r="I189" s="35" t="s">
        <v>347</v>
      </c>
      <c r="J189" s="38" t="n">
        <v>11</v>
      </c>
      <c r="K189" s="47" t="n">
        <v>0</v>
      </c>
      <c r="L189" s="47" t="n">
        <v>0</v>
      </c>
      <c r="M189" s="47" t="n">
        <v>1</v>
      </c>
      <c r="N189" s="47" t="n">
        <v>1</v>
      </c>
      <c r="O189" s="40" t="n">
        <v>0.5</v>
      </c>
      <c r="P189" s="41" t="n">
        <v>0.5</v>
      </c>
      <c r="Q189" s="42" t="n">
        <v>6</v>
      </c>
      <c r="R189" s="42" t="n">
        <v>2</v>
      </c>
      <c r="S189" s="42" t="n">
        <v>8</v>
      </c>
      <c r="T189" s="42" t="n">
        <v>3</v>
      </c>
      <c r="U189" s="43" t="n">
        <v>0</v>
      </c>
      <c r="V189" s="43" t="n">
        <v>0</v>
      </c>
      <c r="W189" s="44" t="n">
        <v>0</v>
      </c>
      <c r="X189" s="44" t="n">
        <v>0</v>
      </c>
      <c r="Y189" s="43" t="n">
        <v>0</v>
      </c>
      <c r="Z189" s="43" t="n">
        <v>0</v>
      </c>
      <c r="AA189" s="44" t="n">
        <v>0</v>
      </c>
      <c r="AB189" s="44" t="n">
        <v>0</v>
      </c>
      <c r="AC189" s="43" t="n">
        <v>0</v>
      </c>
      <c r="AD189" s="43" t="n">
        <v>0</v>
      </c>
      <c r="AE189" s="44" t="n">
        <v>0</v>
      </c>
      <c r="AF189" s="44" t="n">
        <v>0</v>
      </c>
      <c r="AG189" s="43" t="n">
        <v>3</v>
      </c>
      <c r="AH189" s="43" t="n">
        <v>0</v>
      </c>
      <c r="AI189" s="43" t="n">
        <v>1</v>
      </c>
      <c r="AJ189" s="44"/>
      <c r="AK189" s="43" t="n">
        <v>0</v>
      </c>
      <c r="AL189" s="43" t="n">
        <v>3</v>
      </c>
      <c r="AM189" s="45" t="n">
        <v>0.7</v>
      </c>
      <c r="AN189" s="45" t="n">
        <v>0.3</v>
      </c>
      <c r="AO189" s="45" t="n">
        <v>0.5</v>
      </c>
      <c r="AP189" s="46" t="n">
        <v>1200</v>
      </c>
      <c r="AQ189" s="46" t="n">
        <v>600</v>
      </c>
    </row>
    <row r="190" customFormat="false" ht="14.25" hidden="false" customHeight="false" outlineLevel="0" collapsed="false">
      <c r="A190" s="53" t="s">
        <v>349</v>
      </c>
      <c r="B190" s="33" t="n">
        <v>45488</v>
      </c>
      <c r="C190" s="34" t="s">
        <v>108</v>
      </c>
      <c r="D190" s="50" t="s">
        <v>148</v>
      </c>
      <c r="E190" s="50" t="s">
        <v>24</v>
      </c>
      <c r="F190" s="48" t="s">
        <v>345</v>
      </c>
      <c r="G190" s="53" t="s">
        <v>346</v>
      </c>
      <c r="H190" s="35" t="s">
        <v>347</v>
      </c>
      <c r="I190" s="35" t="s">
        <v>347</v>
      </c>
      <c r="J190" s="38" t="n">
        <v>11</v>
      </c>
      <c r="K190" s="47" t="n">
        <v>0</v>
      </c>
      <c r="L190" s="47" t="n">
        <v>0</v>
      </c>
      <c r="M190" s="47" t="n">
        <v>1</v>
      </c>
      <c r="N190" s="47" t="n">
        <v>1</v>
      </c>
      <c r="O190" s="40" t="n">
        <v>0.5</v>
      </c>
      <c r="P190" s="41" t="n">
        <v>0.5</v>
      </c>
      <c r="Q190" s="42" t="n">
        <v>6</v>
      </c>
      <c r="R190" s="42" t="n">
        <v>2</v>
      </c>
      <c r="S190" s="42" t="n">
        <v>8</v>
      </c>
      <c r="T190" s="42" t="n">
        <v>3</v>
      </c>
      <c r="U190" s="43" t="n">
        <v>0</v>
      </c>
      <c r="V190" s="43" t="n">
        <v>0</v>
      </c>
      <c r="W190" s="44" t="n">
        <v>0</v>
      </c>
      <c r="X190" s="44" t="n">
        <v>0</v>
      </c>
      <c r="Y190" s="43" t="n">
        <v>0</v>
      </c>
      <c r="Z190" s="43" t="n">
        <v>1</v>
      </c>
      <c r="AA190" s="44" t="n">
        <v>1</v>
      </c>
      <c r="AB190" s="44" t="n">
        <v>1</v>
      </c>
      <c r="AC190" s="43" t="n">
        <v>0</v>
      </c>
      <c r="AD190" s="43" t="n">
        <v>0</v>
      </c>
      <c r="AE190" s="44" t="n">
        <v>0</v>
      </c>
      <c r="AF190" s="44" t="n">
        <v>0</v>
      </c>
      <c r="AG190" s="43" t="n">
        <v>0</v>
      </c>
      <c r="AH190" s="43" t="n">
        <v>1</v>
      </c>
      <c r="AI190" s="43" t="n">
        <v>0</v>
      </c>
      <c r="AJ190" s="44"/>
      <c r="AK190" s="43" t="n">
        <v>0</v>
      </c>
      <c r="AL190" s="43" t="n">
        <v>3</v>
      </c>
      <c r="AM190" s="45" t="n">
        <v>0.7</v>
      </c>
      <c r="AN190" s="45" t="n">
        <v>0.3</v>
      </c>
      <c r="AO190" s="45" t="n">
        <v>0.5</v>
      </c>
      <c r="AP190" s="46" t="n">
        <v>1200</v>
      </c>
      <c r="AQ190" s="46" t="n">
        <v>600</v>
      </c>
    </row>
    <row r="191" customFormat="false" ht="14.25" hidden="false" customHeight="false" outlineLevel="0" collapsed="false">
      <c r="A191" s="53" t="s">
        <v>350</v>
      </c>
      <c r="B191" s="33" t="n">
        <v>45264</v>
      </c>
      <c r="C191" s="34" t="s">
        <v>108</v>
      </c>
      <c r="D191" s="35" t="s">
        <v>148</v>
      </c>
      <c r="E191" s="50" t="s">
        <v>24</v>
      </c>
      <c r="F191" s="48" t="s">
        <v>345</v>
      </c>
      <c r="G191" s="53" t="s">
        <v>346</v>
      </c>
      <c r="H191" s="35" t="s">
        <v>347</v>
      </c>
      <c r="I191" s="35" t="s">
        <v>347</v>
      </c>
      <c r="J191" s="38" t="n">
        <v>11</v>
      </c>
      <c r="K191" s="47" t="n">
        <v>1</v>
      </c>
      <c r="L191" s="47" t="n">
        <v>1</v>
      </c>
      <c r="M191" s="47" t="n">
        <v>0</v>
      </c>
      <c r="N191" s="47" t="n">
        <v>0</v>
      </c>
      <c r="O191" s="40" t="n">
        <v>0.5</v>
      </c>
      <c r="P191" s="41" t="n">
        <v>0.5</v>
      </c>
      <c r="Q191" s="42" t="n">
        <v>6</v>
      </c>
      <c r="R191" s="42" t="n">
        <v>2</v>
      </c>
      <c r="S191" s="42" t="n">
        <v>8</v>
      </c>
      <c r="T191" s="42" t="n">
        <v>2</v>
      </c>
      <c r="U191" s="43" t="n">
        <v>3</v>
      </c>
      <c r="V191" s="43" t="n">
        <v>3</v>
      </c>
      <c r="W191" s="44" t="n">
        <v>0</v>
      </c>
      <c r="X191" s="44" t="n">
        <v>0</v>
      </c>
      <c r="Y191" s="43" t="n">
        <v>0</v>
      </c>
      <c r="Z191" s="43" t="n">
        <v>0</v>
      </c>
      <c r="AA191" s="44" t="n">
        <v>0</v>
      </c>
      <c r="AB191" s="44" t="n">
        <v>0</v>
      </c>
      <c r="AC191" s="43" t="n">
        <v>0</v>
      </c>
      <c r="AD191" s="43" t="n">
        <v>1</v>
      </c>
      <c r="AE191" s="44" t="n">
        <v>0</v>
      </c>
      <c r="AF191" s="44" t="n">
        <v>0</v>
      </c>
      <c r="AG191" s="43" t="n">
        <v>0</v>
      </c>
      <c r="AH191" s="43" t="n">
        <v>3</v>
      </c>
      <c r="AI191" s="43" t="n">
        <v>0</v>
      </c>
      <c r="AJ191" s="44"/>
      <c r="AK191" s="43" t="n">
        <v>0</v>
      </c>
      <c r="AL191" s="43" t="n">
        <v>9</v>
      </c>
      <c r="AM191" s="45" t="n">
        <v>0.7</v>
      </c>
      <c r="AN191" s="45" t="n">
        <v>0.3</v>
      </c>
      <c r="AO191" s="45" t="n">
        <v>0.5</v>
      </c>
      <c r="AP191" s="46" t="n">
        <v>1200</v>
      </c>
      <c r="AQ191" s="46" t="n">
        <v>600</v>
      </c>
    </row>
    <row r="192" customFormat="false" ht="14.25" hidden="false" customHeight="false" outlineLevel="0" collapsed="false">
      <c r="A192" s="53" t="s">
        <v>351</v>
      </c>
      <c r="B192" s="33" t="n">
        <v>45627</v>
      </c>
      <c r="C192" s="34" t="s">
        <v>108</v>
      </c>
      <c r="D192" s="35" t="s">
        <v>148</v>
      </c>
      <c r="E192" s="50" t="s">
        <v>24</v>
      </c>
      <c r="F192" s="48" t="s">
        <v>345</v>
      </c>
      <c r="G192" s="53" t="s">
        <v>346</v>
      </c>
      <c r="H192" s="35" t="s">
        <v>347</v>
      </c>
      <c r="I192" s="35" t="s">
        <v>347</v>
      </c>
      <c r="J192" s="38" t="n">
        <v>10</v>
      </c>
      <c r="K192" s="47" t="n">
        <v>1</v>
      </c>
      <c r="L192" s="47" t="n">
        <v>0</v>
      </c>
      <c r="M192" s="47" t="n">
        <v>0</v>
      </c>
      <c r="N192" s="47" t="n">
        <v>0.818181818181818</v>
      </c>
      <c r="O192" s="40" t="n">
        <v>0.454545454545455</v>
      </c>
      <c r="P192" s="41" t="n">
        <v>0.454545454545455</v>
      </c>
      <c r="Q192" s="42" t="n">
        <v>5</v>
      </c>
      <c r="R192" s="42" t="n">
        <v>2</v>
      </c>
      <c r="S192" s="42" t="n">
        <v>7</v>
      </c>
      <c r="T192" s="42" t="n">
        <v>3</v>
      </c>
      <c r="U192" s="43" t="n">
        <v>0</v>
      </c>
      <c r="V192" s="43" t="n">
        <v>0</v>
      </c>
      <c r="W192" s="44" t="n">
        <v>0</v>
      </c>
      <c r="X192" s="44" t="n">
        <v>0</v>
      </c>
      <c r="Y192" s="43" t="n">
        <v>1</v>
      </c>
      <c r="Z192" s="43" t="n">
        <v>0</v>
      </c>
      <c r="AA192" s="44" t="n">
        <v>0</v>
      </c>
      <c r="AB192" s="44" t="n">
        <v>0</v>
      </c>
      <c r="AC192" s="43" t="n">
        <v>0</v>
      </c>
      <c r="AD192" s="43" t="n">
        <v>0</v>
      </c>
      <c r="AE192" s="44" t="n">
        <v>0</v>
      </c>
      <c r="AF192" s="44" t="n">
        <v>0</v>
      </c>
      <c r="AG192" s="43" t="n">
        <v>5</v>
      </c>
      <c r="AH192" s="43" t="n">
        <v>0</v>
      </c>
      <c r="AI192" s="43" t="n">
        <v>0</v>
      </c>
      <c r="AJ192" s="44"/>
      <c r="AK192" s="43" t="n">
        <v>0</v>
      </c>
      <c r="AL192" s="43" t="n">
        <v>4</v>
      </c>
      <c r="AM192" s="45" t="n">
        <v>0.7</v>
      </c>
      <c r="AN192" s="45" t="n">
        <v>0.3</v>
      </c>
      <c r="AO192" s="45" t="n">
        <v>0.454545454545455</v>
      </c>
      <c r="AP192" s="46" t="n">
        <v>1200</v>
      </c>
      <c r="AQ192" s="46" t="n">
        <v>545</v>
      </c>
    </row>
    <row r="193" customFormat="false" ht="14.25" hidden="false" customHeight="false" outlineLevel="0" collapsed="false">
      <c r="A193" s="53" t="s">
        <v>352</v>
      </c>
      <c r="B193" s="33" t="n">
        <v>46026</v>
      </c>
      <c r="C193" s="34" t="s">
        <v>173</v>
      </c>
      <c r="D193" s="35" t="s">
        <v>148</v>
      </c>
      <c r="E193" s="50" t="s">
        <v>25</v>
      </c>
      <c r="F193" s="48" t="s">
        <v>345</v>
      </c>
      <c r="G193" s="53" t="s">
        <v>346</v>
      </c>
      <c r="H193" s="35" t="s">
        <v>347</v>
      </c>
      <c r="I193" s="35" t="s">
        <v>347</v>
      </c>
      <c r="J193" s="38" t="n">
        <v>22</v>
      </c>
      <c r="K193" s="47" t="n">
        <v>1</v>
      </c>
      <c r="L193" s="47" t="n">
        <v>1</v>
      </c>
      <c r="M193" s="47" t="n">
        <v>1</v>
      </c>
      <c r="N193" s="47" t="n">
        <v>1</v>
      </c>
      <c r="O193" s="40" t="n">
        <v>1</v>
      </c>
      <c r="P193" s="41" t="n">
        <v>1</v>
      </c>
      <c r="Q193" s="42" t="n">
        <v>8</v>
      </c>
      <c r="R193" s="42" t="n">
        <v>2</v>
      </c>
      <c r="S193" s="42" t="n">
        <v>10</v>
      </c>
      <c r="T193" s="42" t="n">
        <v>4</v>
      </c>
      <c r="U193" s="43" t="n">
        <v>1</v>
      </c>
      <c r="V193" s="43" t="n">
        <v>1</v>
      </c>
      <c r="W193" s="44" t="n">
        <v>1</v>
      </c>
      <c r="X193" s="44" t="n">
        <v>1</v>
      </c>
      <c r="Y193" s="43" t="n">
        <v>0</v>
      </c>
      <c r="Z193" s="43" t="n">
        <v>0</v>
      </c>
      <c r="AA193" s="44" t="n">
        <v>0</v>
      </c>
      <c r="AB193" s="44" t="n">
        <v>0</v>
      </c>
      <c r="AC193" s="43" t="n">
        <v>0</v>
      </c>
      <c r="AD193" s="43" t="n">
        <v>0</v>
      </c>
      <c r="AE193" s="44" t="n">
        <v>0</v>
      </c>
      <c r="AF193" s="44" t="n">
        <v>0</v>
      </c>
      <c r="AG193" s="43" t="n">
        <v>1</v>
      </c>
      <c r="AH193" s="43" t="n">
        <v>7</v>
      </c>
      <c r="AI193" s="43" t="n">
        <v>0</v>
      </c>
      <c r="AJ193" s="44"/>
      <c r="AK193" s="43" t="n">
        <v>0</v>
      </c>
      <c r="AL193" s="43" t="n">
        <v>8</v>
      </c>
      <c r="AM193" s="45" t="n">
        <v>0.7</v>
      </c>
      <c r="AN193" s="45" t="n">
        <v>0.3</v>
      </c>
      <c r="AO193" s="45" t="n">
        <v>1</v>
      </c>
      <c r="AP193" s="46" t="n">
        <v>1200</v>
      </c>
      <c r="AQ193" s="46" t="n">
        <v>1200</v>
      </c>
    </row>
    <row r="194" customFormat="false" ht="14.25" hidden="false" customHeight="false" outlineLevel="0" collapsed="false">
      <c r="A194" s="53" t="s">
        <v>353</v>
      </c>
      <c r="B194" s="33" t="n">
        <v>45383</v>
      </c>
      <c r="C194" s="34" t="s">
        <v>108</v>
      </c>
      <c r="D194" s="35" t="s">
        <v>186</v>
      </c>
      <c r="E194" s="50" t="s">
        <v>26</v>
      </c>
      <c r="F194" s="48" t="s">
        <v>354</v>
      </c>
      <c r="G194" s="53" t="s">
        <v>346</v>
      </c>
      <c r="H194" s="35" t="s">
        <v>347</v>
      </c>
      <c r="I194" s="35" t="s">
        <v>347</v>
      </c>
      <c r="J194" s="38" t="n">
        <v>11</v>
      </c>
      <c r="K194" s="47" t="n">
        <v>0</v>
      </c>
      <c r="L194" s="47" t="n">
        <v>0</v>
      </c>
      <c r="M194" s="47" t="n">
        <v>1</v>
      </c>
      <c r="N194" s="47" t="n">
        <v>1</v>
      </c>
      <c r="O194" s="40" t="n">
        <v>0.5</v>
      </c>
      <c r="P194" s="41" t="n">
        <v>0.5</v>
      </c>
      <c r="Q194" s="42" t="n">
        <v>3</v>
      </c>
      <c r="R194" s="42" t="n">
        <v>1</v>
      </c>
      <c r="S194" s="42" t="n">
        <v>4</v>
      </c>
      <c r="T194" s="42" t="n">
        <v>3</v>
      </c>
      <c r="U194" s="43" t="n">
        <v>0</v>
      </c>
      <c r="V194" s="43" t="n">
        <v>0</v>
      </c>
      <c r="W194" s="44" t="n">
        <v>0</v>
      </c>
      <c r="X194" s="44" t="n">
        <v>0</v>
      </c>
      <c r="Y194" s="43" t="n">
        <v>0</v>
      </c>
      <c r="Z194" s="43" t="n">
        <v>0</v>
      </c>
      <c r="AA194" s="44" t="n">
        <v>0</v>
      </c>
      <c r="AB194" s="44" t="n">
        <v>0</v>
      </c>
      <c r="AC194" s="43" t="n">
        <v>0</v>
      </c>
      <c r="AD194" s="43" t="n">
        <v>0</v>
      </c>
      <c r="AE194" s="44" t="n">
        <v>0</v>
      </c>
      <c r="AF194" s="44" t="n">
        <v>0</v>
      </c>
      <c r="AG194" s="43" t="n">
        <v>1</v>
      </c>
      <c r="AH194" s="43" t="n">
        <v>0</v>
      </c>
      <c r="AI194" s="43" t="n">
        <v>0</v>
      </c>
      <c r="AJ194" s="44"/>
      <c r="AK194" s="43" t="n">
        <v>0</v>
      </c>
      <c r="AL194" s="43" t="n">
        <v>0</v>
      </c>
      <c r="AM194" s="45" t="n">
        <v>0.7</v>
      </c>
      <c r="AN194" s="45" t="n">
        <v>0.3</v>
      </c>
      <c r="AO194" s="45" t="n">
        <v>0.5</v>
      </c>
      <c r="AP194" s="46" t="n">
        <v>1200</v>
      </c>
      <c r="AQ194" s="46" t="n">
        <v>600</v>
      </c>
    </row>
    <row r="195" customFormat="false" ht="14.25" hidden="false" customHeight="false" outlineLevel="0" collapsed="false">
      <c r="A195" s="53" t="s">
        <v>355</v>
      </c>
      <c r="B195" s="33" t="n">
        <v>45852</v>
      </c>
      <c r="C195" s="34" t="s">
        <v>108</v>
      </c>
      <c r="D195" s="35" t="s">
        <v>148</v>
      </c>
      <c r="E195" s="50" t="s">
        <v>25</v>
      </c>
      <c r="F195" s="48" t="s">
        <v>345</v>
      </c>
      <c r="G195" s="53" t="s">
        <v>346</v>
      </c>
      <c r="H195" s="35" t="s">
        <v>347</v>
      </c>
      <c r="I195" s="35" t="s">
        <v>347</v>
      </c>
      <c r="J195" s="38" t="n">
        <v>11</v>
      </c>
      <c r="K195" s="47" t="n">
        <v>1</v>
      </c>
      <c r="L195" s="47" t="n">
        <v>1</v>
      </c>
      <c r="M195" s="47" t="n">
        <v>0</v>
      </c>
      <c r="N195" s="47" t="n">
        <v>0</v>
      </c>
      <c r="O195" s="40" t="n">
        <v>0.5</v>
      </c>
      <c r="P195" s="41" t="n">
        <v>0.5</v>
      </c>
      <c r="Q195" s="42" t="n">
        <v>4</v>
      </c>
      <c r="R195" s="42" t="n">
        <v>1</v>
      </c>
      <c r="S195" s="42" t="n">
        <v>5</v>
      </c>
      <c r="T195" s="42" t="n">
        <v>2</v>
      </c>
      <c r="U195" s="43" t="n">
        <v>0</v>
      </c>
      <c r="V195" s="43" t="n">
        <v>0</v>
      </c>
      <c r="W195" s="44" t="n">
        <v>0</v>
      </c>
      <c r="X195" s="44" t="n">
        <v>0</v>
      </c>
      <c r="Y195" s="43" t="n">
        <v>0</v>
      </c>
      <c r="Z195" s="43" t="n">
        <v>0</v>
      </c>
      <c r="AA195" s="44" t="n">
        <v>0</v>
      </c>
      <c r="AB195" s="44" t="n">
        <v>0</v>
      </c>
      <c r="AC195" s="43" t="n">
        <v>0</v>
      </c>
      <c r="AD195" s="43" t="n">
        <v>1</v>
      </c>
      <c r="AE195" s="44" t="n">
        <v>0</v>
      </c>
      <c r="AF195" s="44" t="n">
        <v>0</v>
      </c>
      <c r="AG195" s="43" t="n">
        <v>2</v>
      </c>
      <c r="AH195" s="43" t="n">
        <v>2</v>
      </c>
      <c r="AI195" s="43" t="n">
        <v>0</v>
      </c>
      <c r="AJ195" s="44"/>
      <c r="AK195" s="43" t="n">
        <v>0</v>
      </c>
      <c r="AL195" s="43" t="n">
        <v>3</v>
      </c>
      <c r="AM195" s="45" t="n">
        <v>0.7</v>
      </c>
      <c r="AN195" s="45" t="n">
        <v>0.3</v>
      </c>
      <c r="AO195" s="45" t="n">
        <v>0.5</v>
      </c>
      <c r="AP195" s="46" t="n">
        <v>1200</v>
      </c>
      <c r="AQ195" s="46" t="n">
        <v>600</v>
      </c>
    </row>
    <row r="196" customFormat="false" ht="14.25" hidden="false" customHeight="false" outlineLevel="0" collapsed="false">
      <c r="A196" s="53" t="s">
        <v>356</v>
      </c>
      <c r="B196" s="33" t="n">
        <v>44774</v>
      </c>
      <c r="C196" s="34" t="s">
        <v>108</v>
      </c>
      <c r="D196" s="35" t="s">
        <v>148</v>
      </c>
      <c r="E196" s="50" t="s">
        <v>25</v>
      </c>
      <c r="F196" s="48" t="s">
        <v>345</v>
      </c>
      <c r="G196" s="53" t="s">
        <v>346</v>
      </c>
      <c r="H196" s="35" t="s">
        <v>347</v>
      </c>
      <c r="I196" s="35" t="s">
        <v>347</v>
      </c>
      <c r="J196" s="38" t="n">
        <v>16.5</v>
      </c>
      <c r="K196" s="47" t="n">
        <v>0</v>
      </c>
      <c r="L196" s="47" t="n">
        <v>1</v>
      </c>
      <c r="M196" s="47" t="n">
        <v>1</v>
      </c>
      <c r="N196" s="47" t="n">
        <v>1</v>
      </c>
      <c r="O196" s="40" t="n">
        <v>0.75</v>
      </c>
      <c r="P196" s="41" t="n">
        <v>0.75</v>
      </c>
      <c r="Q196" s="42" t="n">
        <v>6</v>
      </c>
      <c r="R196" s="42" t="n">
        <v>2</v>
      </c>
      <c r="S196" s="42" t="n">
        <v>8</v>
      </c>
      <c r="T196" s="42" t="n">
        <v>3</v>
      </c>
      <c r="U196" s="43" t="n">
        <v>0</v>
      </c>
      <c r="V196" s="43" t="n">
        <v>0</v>
      </c>
      <c r="W196" s="44" t="n">
        <v>0</v>
      </c>
      <c r="X196" s="44" t="n">
        <v>0</v>
      </c>
      <c r="Y196" s="43" t="n">
        <v>0</v>
      </c>
      <c r="Z196" s="43" t="n">
        <v>2</v>
      </c>
      <c r="AA196" s="44" t="n">
        <v>1</v>
      </c>
      <c r="AB196" s="44" t="n">
        <v>2</v>
      </c>
      <c r="AC196" s="43" t="n">
        <v>0</v>
      </c>
      <c r="AD196" s="43" t="n">
        <v>0</v>
      </c>
      <c r="AE196" s="44" t="n">
        <v>0</v>
      </c>
      <c r="AF196" s="44" t="n">
        <v>0</v>
      </c>
      <c r="AG196" s="43" t="n">
        <v>0</v>
      </c>
      <c r="AH196" s="43" t="n">
        <v>0</v>
      </c>
      <c r="AI196" s="43" t="n">
        <v>0</v>
      </c>
      <c r="AJ196" s="44"/>
      <c r="AK196" s="43" t="n">
        <v>0</v>
      </c>
      <c r="AL196" s="43" t="n">
        <v>5</v>
      </c>
      <c r="AM196" s="45" t="n">
        <v>0.7</v>
      </c>
      <c r="AN196" s="45" t="n">
        <v>0.3</v>
      </c>
      <c r="AO196" s="45" t="n">
        <v>0.75</v>
      </c>
      <c r="AP196" s="46" t="n">
        <v>1200</v>
      </c>
      <c r="AQ196" s="46" t="n">
        <v>900</v>
      </c>
    </row>
    <row r="197" customFormat="false" ht="14.25" hidden="false" customHeight="false" outlineLevel="0" collapsed="false">
      <c r="A197" s="53" t="s">
        <v>357</v>
      </c>
      <c r="B197" s="33" t="n">
        <v>43227</v>
      </c>
      <c r="C197" s="34" t="s">
        <v>108</v>
      </c>
      <c r="D197" s="35" t="s">
        <v>148</v>
      </c>
      <c r="E197" s="50" t="s">
        <v>25</v>
      </c>
      <c r="F197" s="48" t="s">
        <v>345</v>
      </c>
      <c r="G197" s="53" t="s">
        <v>346</v>
      </c>
      <c r="H197" s="35" t="s">
        <v>347</v>
      </c>
      <c r="I197" s="35" t="s">
        <v>347</v>
      </c>
      <c r="J197" s="38" t="n">
        <v>11</v>
      </c>
      <c r="K197" s="47" t="n">
        <v>0</v>
      </c>
      <c r="L197" s="47" t="n">
        <v>0</v>
      </c>
      <c r="M197" s="47" t="n">
        <v>1</v>
      </c>
      <c r="N197" s="47" t="n">
        <v>1</v>
      </c>
      <c r="O197" s="40" t="n">
        <v>0.5</v>
      </c>
      <c r="P197" s="41" t="n">
        <v>0.5</v>
      </c>
      <c r="Q197" s="42" t="n">
        <v>4</v>
      </c>
      <c r="R197" s="42" t="n">
        <v>1</v>
      </c>
      <c r="S197" s="42" t="n">
        <v>5</v>
      </c>
      <c r="T197" s="42" t="n">
        <v>2</v>
      </c>
      <c r="U197" s="43" t="n">
        <v>0</v>
      </c>
      <c r="V197" s="43" t="n">
        <v>0</v>
      </c>
      <c r="W197" s="44" t="n">
        <v>0</v>
      </c>
      <c r="X197" s="44" t="n">
        <v>0</v>
      </c>
      <c r="Y197" s="43" t="n">
        <v>0</v>
      </c>
      <c r="Z197" s="43" t="n">
        <v>0</v>
      </c>
      <c r="AA197" s="44" t="n">
        <v>0</v>
      </c>
      <c r="AB197" s="44" t="n">
        <v>0</v>
      </c>
      <c r="AC197" s="43" t="n">
        <v>0</v>
      </c>
      <c r="AD197" s="43" t="n">
        <v>0</v>
      </c>
      <c r="AE197" s="44" t="n">
        <v>0</v>
      </c>
      <c r="AF197" s="44" t="n">
        <v>0</v>
      </c>
      <c r="AG197" s="43" t="n">
        <v>0</v>
      </c>
      <c r="AH197" s="43" t="n">
        <v>0</v>
      </c>
      <c r="AI197" s="43" t="n">
        <v>1</v>
      </c>
      <c r="AJ197" s="44"/>
      <c r="AK197" s="43" t="n">
        <v>0</v>
      </c>
      <c r="AL197" s="43" t="n">
        <v>0</v>
      </c>
      <c r="AM197" s="45" t="n">
        <v>0.7</v>
      </c>
      <c r="AN197" s="45" t="n">
        <v>0.3</v>
      </c>
      <c r="AO197" s="45" t="n">
        <v>0.5</v>
      </c>
      <c r="AP197" s="46" t="n">
        <v>1200</v>
      </c>
      <c r="AQ197" s="46" t="n">
        <v>600</v>
      </c>
    </row>
    <row r="198" customFormat="false" ht="14.25" hidden="false" customHeight="false" outlineLevel="0" collapsed="false">
      <c r="A198" s="33" t="s">
        <v>358</v>
      </c>
      <c r="B198" s="33" t="n">
        <v>46113</v>
      </c>
      <c r="C198" s="34" t="s">
        <v>140</v>
      </c>
      <c r="D198" s="35" t="s">
        <v>148</v>
      </c>
      <c r="E198" s="35" t="s">
        <v>25</v>
      </c>
      <c r="F198" s="36" t="s">
        <v>345</v>
      </c>
      <c r="G198" s="37" t="s">
        <v>346</v>
      </c>
      <c r="H198" s="35" t="s">
        <v>347</v>
      </c>
      <c r="I198" s="35" t="s">
        <v>347</v>
      </c>
      <c r="J198" s="38" t="n">
        <v>22</v>
      </c>
      <c r="K198" s="47" t="n">
        <v>1</v>
      </c>
      <c r="L198" s="47" t="n">
        <v>1</v>
      </c>
      <c r="M198" s="47" t="n">
        <v>1</v>
      </c>
      <c r="N198" s="47" t="n">
        <v>1</v>
      </c>
      <c r="O198" s="40" t="n">
        <v>1</v>
      </c>
      <c r="P198" s="41" t="n">
        <v>1</v>
      </c>
      <c r="Q198" s="42" t="n">
        <v>8</v>
      </c>
      <c r="R198" s="42" t="n">
        <v>2</v>
      </c>
      <c r="S198" s="42" t="n">
        <v>10</v>
      </c>
      <c r="T198" s="42" t="n">
        <v>5</v>
      </c>
      <c r="U198" s="43" t="n">
        <v>0</v>
      </c>
      <c r="V198" s="43" t="n">
        <v>0</v>
      </c>
      <c r="W198" s="44" t="n">
        <v>0</v>
      </c>
      <c r="X198" s="44" t="n">
        <v>0</v>
      </c>
      <c r="Y198" s="43" t="n">
        <v>0</v>
      </c>
      <c r="Z198" s="43" t="n">
        <v>0</v>
      </c>
      <c r="AA198" s="44" t="n">
        <v>0</v>
      </c>
      <c r="AB198" s="44" t="n">
        <v>0</v>
      </c>
      <c r="AC198" s="43" t="n">
        <v>0</v>
      </c>
      <c r="AD198" s="43" t="n">
        <v>0</v>
      </c>
      <c r="AE198" s="44" t="n">
        <v>0</v>
      </c>
      <c r="AF198" s="44" t="n">
        <v>0</v>
      </c>
      <c r="AG198" s="43" t="n">
        <v>1</v>
      </c>
      <c r="AH198" s="43" t="n">
        <v>2</v>
      </c>
      <c r="AI198" s="43" t="n">
        <v>0</v>
      </c>
      <c r="AJ198" s="44"/>
      <c r="AK198" s="43" t="n">
        <v>0</v>
      </c>
      <c r="AL198" s="43" t="n">
        <v>1</v>
      </c>
      <c r="AM198" s="45" t="n">
        <v>0.7</v>
      </c>
      <c r="AN198" s="45" t="n">
        <v>0.3</v>
      </c>
      <c r="AO198" s="45" t="n">
        <v>1</v>
      </c>
      <c r="AP198" s="46" t="n">
        <v>1200</v>
      </c>
      <c r="AQ198" s="46" t="n">
        <v>1200</v>
      </c>
    </row>
    <row r="199" customFormat="false" ht="14.25" hidden="false" customHeight="false" outlineLevel="0" collapsed="false">
      <c r="A199" s="33" t="s">
        <v>359</v>
      </c>
      <c r="B199" s="33" t="n">
        <v>46113</v>
      </c>
      <c r="C199" s="34" t="s">
        <v>140</v>
      </c>
      <c r="D199" s="35" t="s">
        <v>148</v>
      </c>
      <c r="E199" s="35" t="s">
        <v>25</v>
      </c>
      <c r="F199" s="36" t="s">
        <v>345</v>
      </c>
      <c r="G199" s="37" t="s">
        <v>346</v>
      </c>
      <c r="H199" s="35" t="s">
        <v>347</v>
      </c>
      <c r="I199" s="35" t="s">
        <v>347</v>
      </c>
      <c r="J199" s="38" t="n">
        <v>22</v>
      </c>
      <c r="K199" s="47" t="n">
        <v>1</v>
      </c>
      <c r="L199" s="47" t="n">
        <v>1</v>
      </c>
      <c r="M199" s="47" t="n">
        <v>1</v>
      </c>
      <c r="N199" s="47" t="n">
        <v>1</v>
      </c>
      <c r="O199" s="40" t="n">
        <v>1</v>
      </c>
      <c r="P199" s="41" t="n">
        <v>1</v>
      </c>
      <c r="Q199" s="42" t="n">
        <v>8</v>
      </c>
      <c r="R199" s="42" t="n">
        <v>2</v>
      </c>
      <c r="S199" s="42" t="n">
        <v>10</v>
      </c>
      <c r="T199" s="42" t="n">
        <v>4</v>
      </c>
      <c r="U199" s="43" t="n">
        <v>1</v>
      </c>
      <c r="V199" s="43" t="n">
        <v>1</v>
      </c>
      <c r="W199" s="44" t="n">
        <v>1</v>
      </c>
      <c r="X199" s="44" t="n">
        <v>1</v>
      </c>
      <c r="Y199" s="43" t="n">
        <v>0</v>
      </c>
      <c r="Z199" s="43" t="n">
        <v>0</v>
      </c>
      <c r="AA199" s="44" t="n">
        <v>0</v>
      </c>
      <c r="AB199" s="44" t="n">
        <v>0</v>
      </c>
      <c r="AC199" s="43" t="n">
        <v>0</v>
      </c>
      <c r="AD199" s="43" t="n">
        <v>0</v>
      </c>
      <c r="AE199" s="44" t="n">
        <v>0</v>
      </c>
      <c r="AF199" s="44" t="n">
        <v>0</v>
      </c>
      <c r="AG199" s="43" t="n">
        <v>1</v>
      </c>
      <c r="AH199" s="43" t="n">
        <v>1</v>
      </c>
      <c r="AI199" s="43" t="n">
        <v>0</v>
      </c>
      <c r="AJ199" s="44"/>
      <c r="AK199" s="43" t="n">
        <v>0</v>
      </c>
      <c r="AL199" s="43" t="n">
        <v>6</v>
      </c>
      <c r="AM199" s="45" t="n">
        <v>0.7</v>
      </c>
      <c r="AN199" s="45" t="n">
        <v>0.3</v>
      </c>
      <c r="AO199" s="45" t="n">
        <v>1</v>
      </c>
      <c r="AP199" s="46" t="n">
        <v>1200</v>
      </c>
      <c r="AQ199" s="46" t="n">
        <v>1200</v>
      </c>
    </row>
    <row r="200" customFormat="false" ht="14.25" hidden="false" customHeight="false" outlineLevel="0" collapsed="false">
      <c r="A200" s="33" t="s">
        <v>360</v>
      </c>
      <c r="B200" s="33" t="n">
        <v>45901</v>
      </c>
      <c r="C200" s="34" t="s">
        <v>167</v>
      </c>
      <c r="D200" s="35" t="s">
        <v>148</v>
      </c>
      <c r="E200" s="35" t="s">
        <v>25</v>
      </c>
      <c r="F200" s="36" t="s">
        <v>345</v>
      </c>
      <c r="G200" s="37" t="s">
        <v>346</v>
      </c>
      <c r="H200" s="35" t="s">
        <v>347</v>
      </c>
      <c r="I200" s="35" t="s">
        <v>347</v>
      </c>
      <c r="J200" s="38" t="n">
        <v>11</v>
      </c>
      <c r="K200" s="47" t="n">
        <v>1</v>
      </c>
      <c r="L200" s="47" t="n">
        <v>1</v>
      </c>
      <c r="M200" s="47" t="n">
        <v>0</v>
      </c>
      <c r="N200" s="47" t="n">
        <v>0</v>
      </c>
      <c r="O200" s="40" t="n">
        <v>0.5</v>
      </c>
      <c r="P200" s="41" t="n">
        <v>0.5</v>
      </c>
      <c r="Q200" s="42" t="n">
        <v>4</v>
      </c>
      <c r="R200" s="42" t="n">
        <v>1</v>
      </c>
      <c r="S200" s="42" t="n">
        <v>5</v>
      </c>
      <c r="T200" s="42" t="n">
        <v>2</v>
      </c>
      <c r="U200" s="43" t="n">
        <v>0</v>
      </c>
      <c r="V200" s="43" t="n">
        <v>0</v>
      </c>
      <c r="W200" s="44" t="n">
        <v>0</v>
      </c>
      <c r="X200" s="44" t="n">
        <v>0</v>
      </c>
      <c r="Y200" s="43" t="n">
        <v>0</v>
      </c>
      <c r="Z200" s="43" t="n">
        <v>0</v>
      </c>
      <c r="AA200" s="44" t="n">
        <v>0</v>
      </c>
      <c r="AB200" s="44" t="n">
        <v>0</v>
      </c>
      <c r="AC200" s="43" t="n">
        <v>0</v>
      </c>
      <c r="AD200" s="43" t="n">
        <v>1</v>
      </c>
      <c r="AE200" s="44" t="n">
        <v>0</v>
      </c>
      <c r="AF200" s="44" t="n">
        <v>0</v>
      </c>
      <c r="AG200" s="43" t="n">
        <v>1</v>
      </c>
      <c r="AH200" s="43" t="n">
        <v>1</v>
      </c>
      <c r="AI200" s="43" t="n">
        <v>0</v>
      </c>
      <c r="AJ200" s="44"/>
      <c r="AK200" s="43" t="n">
        <v>0</v>
      </c>
      <c r="AL200" s="43" t="n">
        <v>2</v>
      </c>
      <c r="AM200" s="45" t="n">
        <v>0.7</v>
      </c>
      <c r="AN200" s="45" t="n">
        <v>0.3</v>
      </c>
      <c r="AO200" s="45" t="n">
        <v>0.5</v>
      </c>
      <c r="AP200" s="46" t="n">
        <v>1200</v>
      </c>
      <c r="AQ200" s="46" t="n">
        <v>600</v>
      </c>
    </row>
    <row r="201" customFormat="false" ht="14.25" hidden="false" customHeight="false" outlineLevel="0" collapsed="false">
      <c r="A201" s="33" t="s">
        <v>361</v>
      </c>
      <c r="B201" s="33" t="n">
        <v>45943</v>
      </c>
      <c r="C201" s="34" t="s">
        <v>299</v>
      </c>
      <c r="D201" s="35" t="s">
        <v>148</v>
      </c>
      <c r="E201" s="35" t="s">
        <v>25</v>
      </c>
      <c r="F201" s="36" t="s">
        <v>345</v>
      </c>
      <c r="G201" s="37" t="s">
        <v>346</v>
      </c>
      <c r="H201" s="35" t="s">
        <v>347</v>
      </c>
      <c r="I201" s="35" t="s">
        <v>347</v>
      </c>
      <c r="J201" s="38" t="n">
        <v>11</v>
      </c>
      <c r="K201" s="47" t="n">
        <v>0</v>
      </c>
      <c r="L201" s="47" t="n">
        <v>0</v>
      </c>
      <c r="M201" s="47" t="n">
        <v>1</v>
      </c>
      <c r="N201" s="47" t="n">
        <v>1</v>
      </c>
      <c r="O201" s="40" t="n">
        <v>0.5</v>
      </c>
      <c r="P201" s="41" t="n">
        <v>0.5</v>
      </c>
      <c r="Q201" s="42" t="n">
        <v>4</v>
      </c>
      <c r="R201" s="42" t="n">
        <v>1</v>
      </c>
      <c r="S201" s="42" t="n">
        <v>5</v>
      </c>
      <c r="T201" s="42" t="n">
        <v>2</v>
      </c>
      <c r="U201" s="43" t="n">
        <v>0</v>
      </c>
      <c r="V201" s="43" t="n">
        <v>0</v>
      </c>
      <c r="W201" s="44" t="n">
        <v>0</v>
      </c>
      <c r="X201" s="44" t="n">
        <v>0</v>
      </c>
      <c r="Y201" s="43" t="n">
        <v>0</v>
      </c>
      <c r="Z201" s="43" t="n">
        <v>0</v>
      </c>
      <c r="AA201" s="44" t="n">
        <v>0</v>
      </c>
      <c r="AB201" s="44" t="n">
        <v>0</v>
      </c>
      <c r="AC201" s="43" t="n">
        <v>0</v>
      </c>
      <c r="AD201" s="43" t="n">
        <v>0</v>
      </c>
      <c r="AE201" s="44" t="n">
        <v>0</v>
      </c>
      <c r="AF201" s="44" t="n">
        <v>0</v>
      </c>
      <c r="AG201" s="43" t="n">
        <v>0</v>
      </c>
      <c r="AH201" s="43" t="n">
        <v>0</v>
      </c>
      <c r="AI201" s="43" t="n">
        <v>0</v>
      </c>
      <c r="AJ201" s="44"/>
      <c r="AK201" s="43" t="n">
        <v>0</v>
      </c>
      <c r="AL201" s="43" t="n">
        <v>0</v>
      </c>
      <c r="AM201" s="45" t="n">
        <v>0.7</v>
      </c>
      <c r="AN201" s="45" t="n">
        <v>0.3</v>
      </c>
      <c r="AO201" s="45" t="n">
        <v>0.5</v>
      </c>
      <c r="AP201" s="46" t="n">
        <v>1200</v>
      </c>
      <c r="AQ201" s="46" t="n">
        <v>600</v>
      </c>
    </row>
    <row r="202" customFormat="false" ht="14.25" hidden="false" customHeight="false" outlineLevel="0" collapsed="false">
      <c r="A202" s="33" t="s">
        <v>362</v>
      </c>
      <c r="B202" s="33" t="n">
        <v>45839</v>
      </c>
      <c r="C202" s="34" t="s">
        <v>108</v>
      </c>
      <c r="D202" s="35" t="s">
        <v>148</v>
      </c>
      <c r="E202" s="35" t="s">
        <v>25</v>
      </c>
      <c r="F202" s="36" t="s">
        <v>345</v>
      </c>
      <c r="G202" s="37" t="s">
        <v>346</v>
      </c>
      <c r="H202" s="35" t="s">
        <v>347</v>
      </c>
      <c r="I202" s="35" t="s">
        <v>347</v>
      </c>
      <c r="J202" s="38" t="n">
        <v>11</v>
      </c>
      <c r="K202" s="47" t="n">
        <v>1</v>
      </c>
      <c r="L202" s="47" t="n">
        <v>1</v>
      </c>
      <c r="M202" s="47" t="n">
        <v>0</v>
      </c>
      <c r="N202" s="47" t="n">
        <v>0</v>
      </c>
      <c r="O202" s="40" t="n">
        <v>0.5</v>
      </c>
      <c r="P202" s="41" t="n">
        <v>0.5</v>
      </c>
      <c r="Q202" s="42" t="n">
        <v>4</v>
      </c>
      <c r="R202" s="42" t="n">
        <v>1</v>
      </c>
      <c r="S202" s="42" t="n">
        <v>5</v>
      </c>
      <c r="T202" s="42" t="n">
        <v>3</v>
      </c>
      <c r="U202" s="43" t="n">
        <v>1</v>
      </c>
      <c r="V202" s="43" t="n">
        <v>1</v>
      </c>
      <c r="W202" s="44" t="n">
        <v>0</v>
      </c>
      <c r="X202" s="44" t="n">
        <v>0</v>
      </c>
      <c r="Y202" s="43" t="n">
        <v>0</v>
      </c>
      <c r="Z202" s="43" t="n">
        <v>0</v>
      </c>
      <c r="AA202" s="44" t="n">
        <v>0</v>
      </c>
      <c r="AB202" s="44" t="n">
        <v>0</v>
      </c>
      <c r="AC202" s="43" t="n">
        <v>0</v>
      </c>
      <c r="AD202" s="43" t="n">
        <v>0</v>
      </c>
      <c r="AE202" s="44" t="n">
        <v>0</v>
      </c>
      <c r="AF202" s="44" t="n">
        <v>0</v>
      </c>
      <c r="AG202" s="43" t="n">
        <v>1</v>
      </c>
      <c r="AH202" s="43" t="n">
        <v>6</v>
      </c>
      <c r="AI202" s="43" t="n">
        <v>0</v>
      </c>
      <c r="AJ202" s="44"/>
      <c r="AK202" s="43" t="n">
        <v>0</v>
      </c>
      <c r="AL202" s="43" t="n">
        <v>4</v>
      </c>
      <c r="AM202" s="45" t="n">
        <v>0.7</v>
      </c>
      <c r="AN202" s="45" t="n">
        <v>0.3</v>
      </c>
      <c r="AO202" s="45" t="n">
        <v>0.5</v>
      </c>
      <c r="AP202" s="46" t="n">
        <v>1200</v>
      </c>
      <c r="AQ202" s="46" t="n">
        <v>600</v>
      </c>
    </row>
    <row r="203" customFormat="false" ht="14.25" hidden="false" customHeight="false" outlineLevel="0" collapsed="false">
      <c r="A203" s="33" t="s">
        <v>363</v>
      </c>
      <c r="B203" s="33" t="n">
        <v>41467</v>
      </c>
      <c r="C203" s="34" t="s">
        <v>108</v>
      </c>
      <c r="D203" s="35" t="s">
        <v>29</v>
      </c>
      <c r="E203" s="35" t="s">
        <v>29</v>
      </c>
      <c r="F203" s="36" t="s">
        <v>364</v>
      </c>
      <c r="G203" s="37" t="s">
        <v>346</v>
      </c>
      <c r="H203" s="35" t="s">
        <v>347</v>
      </c>
      <c r="I203" s="35" t="s">
        <v>347</v>
      </c>
      <c r="J203" s="38" t="n">
        <v>22</v>
      </c>
      <c r="K203" s="47" t="n">
        <v>1</v>
      </c>
      <c r="L203" s="47" t="n">
        <v>1</v>
      </c>
      <c r="M203" s="47" t="n">
        <v>1</v>
      </c>
      <c r="N203" s="47" t="n">
        <v>1</v>
      </c>
      <c r="O203" s="40" t="n">
        <v>1</v>
      </c>
      <c r="P203" s="41" t="n">
        <v>1</v>
      </c>
      <c r="Q203" s="42" t="n">
        <v>11</v>
      </c>
      <c r="R203" s="42" t="n">
        <v>3</v>
      </c>
      <c r="S203" s="42" t="n">
        <v>14</v>
      </c>
      <c r="T203" s="42" t="n">
        <v>2</v>
      </c>
      <c r="U203" s="43" t="n">
        <v>2</v>
      </c>
      <c r="V203" s="43" t="n">
        <v>2</v>
      </c>
      <c r="W203" s="44" t="n">
        <v>2</v>
      </c>
      <c r="X203" s="44" t="n">
        <v>3</v>
      </c>
      <c r="Y203" s="43" t="n">
        <v>0</v>
      </c>
      <c r="Z203" s="43" t="n">
        <v>1</v>
      </c>
      <c r="AA203" s="44" t="n">
        <v>1</v>
      </c>
      <c r="AB203" s="44" t="n">
        <v>1</v>
      </c>
      <c r="AC203" s="43" t="n">
        <v>0</v>
      </c>
      <c r="AD203" s="43" t="n">
        <v>0</v>
      </c>
      <c r="AE203" s="44" t="n">
        <v>0</v>
      </c>
      <c r="AF203" s="44" t="n">
        <v>0</v>
      </c>
      <c r="AG203" s="43" t="n">
        <v>0</v>
      </c>
      <c r="AH203" s="43" t="n">
        <v>0</v>
      </c>
      <c r="AI203" s="43" t="n">
        <v>0</v>
      </c>
      <c r="AJ203" s="44"/>
      <c r="AK203" s="43" t="n">
        <v>0</v>
      </c>
      <c r="AL203" s="43" t="n">
        <v>12</v>
      </c>
      <c r="AM203" s="45" t="n">
        <v>0.7</v>
      </c>
      <c r="AN203" s="45" t="n">
        <v>0.3</v>
      </c>
      <c r="AO203" s="45" t="n">
        <v>1</v>
      </c>
      <c r="AP203" s="46" t="n">
        <v>1200</v>
      </c>
      <c r="AQ203" s="46" t="n">
        <v>1200</v>
      </c>
    </row>
    <row r="204" customFormat="false" ht="14.25" hidden="false" customHeight="false" outlineLevel="0" collapsed="false">
      <c r="A204" s="33" t="s">
        <v>365</v>
      </c>
      <c r="B204" s="33" t="n">
        <v>44900</v>
      </c>
      <c r="C204" s="34" t="s">
        <v>108</v>
      </c>
      <c r="D204" s="35" t="s">
        <v>29</v>
      </c>
      <c r="E204" s="35" t="s">
        <v>29</v>
      </c>
      <c r="F204" s="36" t="s">
        <v>364</v>
      </c>
      <c r="G204" s="37" t="s">
        <v>346</v>
      </c>
      <c r="H204" s="35" t="s">
        <v>347</v>
      </c>
      <c r="I204" s="35" t="s">
        <v>347</v>
      </c>
      <c r="J204" s="38" t="n">
        <v>16.5</v>
      </c>
      <c r="K204" s="47" t="n">
        <v>1</v>
      </c>
      <c r="L204" s="47" t="n">
        <v>0</v>
      </c>
      <c r="M204" s="47" t="n">
        <v>1</v>
      </c>
      <c r="N204" s="47" t="n">
        <v>1</v>
      </c>
      <c r="O204" s="40" t="n">
        <v>0.75</v>
      </c>
      <c r="P204" s="41" t="n">
        <v>0.75</v>
      </c>
      <c r="Q204" s="42" t="n">
        <v>9</v>
      </c>
      <c r="R204" s="42" t="n">
        <v>2</v>
      </c>
      <c r="S204" s="42" t="n">
        <v>11</v>
      </c>
      <c r="T204" s="42" t="n">
        <v>4</v>
      </c>
      <c r="U204" s="43" t="n">
        <v>4</v>
      </c>
      <c r="V204" s="43" t="n">
        <v>4</v>
      </c>
      <c r="W204" s="44" t="n">
        <v>5</v>
      </c>
      <c r="X204" s="44" t="n">
        <v>6</v>
      </c>
      <c r="Y204" s="43" t="n">
        <v>0</v>
      </c>
      <c r="Z204" s="43" t="n">
        <v>0</v>
      </c>
      <c r="AA204" s="44" t="n">
        <v>0</v>
      </c>
      <c r="AB204" s="44" t="n">
        <v>0</v>
      </c>
      <c r="AC204" s="43" t="n">
        <v>0</v>
      </c>
      <c r="AD204" s="43" t="n">
        <v>0</v>
      </c>
      <c r="AE204" s="44" t="n">
        <v>0</v>
      </c>
      <c r="AF204" s="44" t="n">
        <v>0</v>
      </c>
      <c r="AG204" s="43" t="n">
        <v>0</v>
      </c>
      <c r="AH204" s="43" t="n">
        <v>0</v>
      </c>
      <c r="AI204" s="43" t="n">
        <v>0</v>
      </c>
      <c r="AJ204" s="44"/>
      <c r="AK204" s="43" t="n">
        <v>0</v>
      </c>
      <c r="AL204" s="43" t="n">
        <v>19</v>
      </c>
      <c r="AM204" s="45" t="n">
        <v>0.7</v>
      </c>
      <c r="AN204" s="45" t="n">
        <v>0.3</v>
      </c>
      <c r="AO204" s="45" t="n">
        <v>0.75</v>
      </c>
      <c r="AP204" s="46" t="n">
        <v>1200</v>
      </c>
      <c r="AQ204" s="46" t="n">
        <v>900</v>
      </c>
    </row>
    <row r="205" customFormat="false" ht="14.25" hidden="false" customHeight="false" outlineLevel="0" collapsed="false">
      <c r="A205" s="49" t="s">
        <v>366</v>
      </c>
      <c r="B205" s="33" t="n">
        <v>45383</v>
      </c>
      <c r="C205" s="34" t="s">
        <v>108</v>
      </c>
      <c r="D205" s="35" t="s">
        <v>29</v>
      </c>
      <c r="E205" s="50" t="s">
        <v>29</v>
      </c>
      <c r="F205" s="36" t="s">
        <v>364</v>
      </c>
      <c r="G205" s="37" t="s">
        <v>346</v>
      </c>
      <c r="H205" s="35" t="s">
        <v>347</v>
      </c>
      <c r="I205" s="35" t="s">
        <v>347</v>
      </c>
      <c r="J205" s="38" t="n">
        <v>0</v>
      </c>
      <c r="K205" s="47" t="n">
        <v>0</v>
      </c>
      <c r="L205" s="47" t="n">
        <v>0</v>
      </c>
      <c r="M205" s="47" t="n">
        <v>0</v>
      </c>
      <c r="N205" s="47" t="n">
        <v>0</v>
      </c>
      <c r="O205" s="40" t="n">
        <v>0</v>
      </c>
      <c r="P205" s="41" t="n">
        <v>0</v>
      </c>
      <c r="Q205" s="42" t="n">
        <v>0</v>
      </c>
      <c r="R205" s="42" t="n">
        <v>0</v>
      </c>
      <c r="S205" s="42" t="n">
        <v>0</v>
      </c>
      <c r="T205" s="42" t="n">
        <v>0</v>
      </c>
      <c r="U205" s="43" t="n">
        <v>0</v>
      </c>
      <c r="V205" s="43" t="n">
        <v>0</v>
      </c>
      <c r="W205" s="44" t="n">
        <v>0</v>
      </c>
      <c r="X205" s="44" t="n">
        <v>0</v>
      </c>
      <c r="Y205" s="43" t="n">
        <v>0</v>
      </c>
      <c r="Z205" s="43" t="n">
        <v>0</v>
      </c>
      <c r="AA205" s="44" t="n">
        <v>0</v>
      </c>
      <c r="AB205" s="44" t="n">
        <v>0</v>
      </c>
      <c r="AC205" s="43" t="n">
        <v>0</v>
      </c>
      <c r="AD205" s="43" t="n">
        <v>0</v>
      </c>
      <c r="AE205" s="44" t="n">
        <v>0</v>
      </c>
      <c r="AF205" s="44" t="n">
        <v>0</v>
      </c>
      <c r="AG205" s="43" t="n">
        <v>0</v>
      </c>
      <c r="AH205" s="43" t="n">
        <v>0</v>
      </c>
      <c r="AI205" s="43" t="n">
        <v>0</v>
      </c>
      <c r="AJ205" s="44"/>
      <c r="AK205" s="43" t="n">
        <v>0</v>
      </c>
      <c r="AL205" s="43" t="n">
        <v>0</v>
      </c>
      <c r="AM205" s="45" t="n">
        <v>0.7</v>
      </c>
      <c r="AN205" s="45" t="n">
        <v>0.3</v>
      </c>
      <c r="AO205" s="45" t="n">
        <v>0</v>
      </c>
      <c r="AP205" s="46" t="n">
        <v>1200</v>
      </c>
      <c r="AQ205" s="46" t="n">
        <v>0</v>
      </c>
    </row>
    <row r="206" customFormat="false" ht="14.25" hidden="false" customHeight="false" outlineLevel="0" collapsed="false">
      <c r="A206" s="33" t="s">
        <v>367</v>
      </c>
      <c r="B206" s="33" t="n">
        <v>44669</v>
      </c>
      <c r="C206" s="34" t="s">
        <v>108</v>
      </c>
      <c r="D206" s="35" t="s">
        <v>29</v>
      </c>
      <c r="E206" s="50" t="s">
        <v>29</v>
      </c>
      <c r="F206" s="36" t="s">
        <v>364</v>
      </c>
      <c r="G206" s="37" t="s">
        <v>346</v>
      </c>
      <c r="H206" s="35" t="s">
        <v>347</v>
      </c>
      <c r="I206" s="35" t="s">
        <v>347</v>
      </c>
      <c r="J206" s="38" t="n">
        <v>16.5</v>
      </c>
      <c r="K206" s="47" t="n">
        <v>0</v>
      </c>
      <c r="L206" s="47" t="n">
        <v>0.818181818181818</v>
      </c>
      <c r="M206" s="47" t="n">
        <v>1</v>
      </c>
      <c r="N206" s="47" t="n">
        <v>1</v>
      </c>
      <c r="O206" s="40" t="n">
        <v>0.75</v>
      </c>
      <c r="P206" s="41" t="n">
        <v>0.75</v>
      </c>
      <c r="Q206" s="42" t="n">
        <v>8</v>
      </c>
      <c r="R206" s="42" t="n">
        <v>2</v>
      </c>
      <c r="S206" s="42" t="n">
        <v>11</v>
      </c>
      <c r="T206" s="42" t="n">
        <v>5</v>
      </c>
      <c r="U206" s="43" t="n">
        <v>0</v>
      </c>
      <c r="V206" s="43" t="n">
        <v>0</v>
      </c>
      <c r="W206" s="44" t="n">
        <v>0</v>
      </c>
      <c r="X206" s="44" t="n">
        <v>0</v>
      </c>
      <c r="Y206" s="43" t="n">
        <v>0</v>
      </c>
      <c r="Z206" s="43" t="n">
        <v>0</v>
      </c>
      <c r="AA206" s="44" t="n">
        <v>0</v>
      </c>
      <c r="AB206" s="44" t="n">
        <v>0</v>
      </c>
      <c r="AC206" s="43" t="n">
        <v>0</v>
      </c>
      <c r="AD206" s="43" t="n">
        <v>0</v>
      </c>
      <c r="AE206" s="44" t="n">
        <v>0</v>
      </c>
      <c r="AF206" s="44" t="n">
        <v>0</v>
      </c>
      <c r="AG206" s="43" t="n">
        <v>0</v>
      </c>
      <c r="AH206" s="43" t="n">
        <v>0</v>
      </c>
      <c r="AI206" s="43" t="n">
        <v>0</v>
      </c>
      <c r="AJ206" s="44"/>
      <c r="AK206" s="43" t="n">
        <v>0</v>
      </c>
      <c r="AL206" s="43" t="n">
        <v>0</v>
      </c>
      <c r="AM206" s="45" t="n">
        <v>0.7</v>
      </c>
      <c r="AN206" s="45" t="n">
        <v>0.3</v>
      </c>
      <c r="AO206" s="45" t="n">
        <v>0.75</v>
      </c>
      <c r="AP206" s="46" t="n">
        <v>1200</v>
      </c>
      <c r="AQ206" s="46" t="n">
        <v>845</v>
      </c>
    </row>
    <row r="207" customFormat="false" ht="14.25" hidden="false" customHeight="false" outlineLevel="0" collapsed="false">
      <c r="A207" s="33" t="s">
        <v>368</v>
      </c>
      <c r="B207" s="33" t="n">
        <v>45336</v>
      </c>
      <c r="C207" s="34" t="s">
        <v>108</v>
      </c>
      <c r="D207" s="35" t="s">
        <v>29</v>
      </c>
      <c r="E207" s="50" t="s">
        <v>29</v>
      </c>
      <c r="F207" s="36" t="s">
        <v>364</v>
      </c>
      <c r="G207" s="37" t="s">
        <v>346</v>
      </c>
      <c r="H207" s="35" t="s">
        <v>347</v>
      </c>
      <c r="I207" s="35" t="s">
        <v>347</v>
      </c>
      <c r="J207" s="38" t="n">
        <v>22</v>
      </c>
      <c r="K207" s="47" t="n">
        <v>1</v>
      </c>
      <c r="L207" s="47" t="n">
        <v>1</v>
      </c>
      <c r="M207" s="47" t="n">
        <v>1</v>
      </c>
      <c r="N207" s="47" t="n">
        <v>1</v>
      </c>
      <c r="O207" s="40" t="n">
        <v>1</v>
      </c>
      <c r="P207" s="41" t="n">
        <v>1</v>
      </c>
      <c r="Q207" s="42" t="n">
        <v>11</v>
      </c>
      <c r="R207" s="42" t="n">
        <v>3</v>
      </c>
      <c r="S207" s="42" t="n">
        <v>14</v>
      </c>
      <c r="T207" s="42" t="n">
        <v>5</v>
      </c>
      <c r="U207" s="43" t="n">
        <v>3</v>
      </c>
      <c r="V207" s="43" t="n">
        <v>3</v>
      </c>
      <c r="W207" s="44" t="n">
        <v>4</v>
      </c>
      <c r="X207" s="44" t="n">
        <v>5</v>
      </c>
      <c r="Y207" s="43" t="n">
        <v>0</v>
      </c>
      <c r="Z207" s="43" t="n">
        <v>0</v>
      </c>
      <c r="AA207" s="44" t="n">
        <v>0</v>
      </c>
      <c r="AB207" s="44" t="n">
        <v>0</v>
      </c>
      <c r="AC207" s="43" t="n">
        <v>0</v>
      </c>
      <c r="AD207" s="43" t="n">
        <v>0</v>
      </c>
      <c r="AE207" s="44" t="n">
        <v>0</v>
      </c>
      <c r="AF207" s="44" t="n">
        <v>0</v>
      </c>
      <c r="AG207" s="43" t="n">
        <v>2</v>
      </c>
      <c r="AH207" s="43" t="n">
        <v>0</v>
      </c>
      <c r="AI207" s="43" t="n">
        <v>0</v>
      </c>
      <c r="AJ207" s="44"/>
      <c r="AK207" s="43" t="n">
        <v>1</v>
      </c>
      <c r="AL207" s="43" t="n">
        <v>17</v>
      </c>
      <c r="AM207" s="45" t="n">
        <v>0.7</v>
      </c>
      <c r="AN207" s="45" t="n">
        <v>0.3</v>
      </c>
      <c r="AO207" s="45" t="n">
        <v>1</v>
      </c>
      <c r="AP207" s="46" t="n">
        <v>1200</v>
      </c>
      <c r="AQ207" s="46" t="n">
        <v>1200</v>
      </c>
    </row>
    <row r="208" customFormat="false" ht="14.25" hidden="false" customHeight="false" outlineLevel="0" collapsed="false">
      <c r="A208" s="33" t="s">
        <v>369</v>
      </c>
      <c r="B208" s="33" t="n">
        <v>46113</v>
      </c>
      <c r="C208" s="34" t="s">
        <v>140</v>
      </c>
      <c r="D208" s="35" t="s">
        <v>29</v>
      </c>
      <c r="E208" s="35" t="s">
        <v>29</v>
      </c>
      <c r="F208" s="36" t="s">
        <v>364</v>
      </c>
      <c r="G208" s="37" t="s">
        <v>346</v>
      </c>
      <c r="H208" s="35" t="s">
        <v>347</v>
      </c>
      <c r="I208" s="35" t="s">
        <v>347</v>
      </c>
      <c r="J208" s="38" t="n">
        <v>16.5</v>
      </c>
      <c r="K208" s="47" t="n">
        <v>1</v>
      </c>
      <c r="L208" s="47" t="n">
        <v>1</v>
      </c>
      <c r="M208" s="47" t="n">
        <v>1</v>
      </c>
      <c r="N208" s="47" t="n">
        <v>1</v>
      </c>
      <c r="O208" s="40" t="n">
        <v>0.75</v>
      </c>
      <c r="P208" s="41" t="n">
        <v>0.75</v>
      </c>
      <c r="Q208" s="42" t="n">
        <v>11</v>
      </c>
      <c r="R208" s="42" t="n">
        <v>2</v>
      </c>
      <c r="S208" s="42" t="n">
        <v>11</v>
      </c>
      <c r="T208" s="42" t="n">
        <v>5</v>
      </c>
      <c r="U208" s="43" t="n">
        <v>0</v>
      </c>
      <c r="V208" s="43" t="n">
        <v>0</v>
      </c>
      <c r="W208" s="44" t="n">
        <v>0</v>
      </c>
      <c r="X208" s="44" t="n">
        <v>0</v>
      </c>
      <c r="Y208" s="43" t="n">
        <v>0</v>
      </c>
      <c r="Z208" s="43" t="n">
        <v>0</v>
      </c>
      <c r="AA208" s="44" t="n">
        <v>0</v>
      </c>
      <c r="AB208" s="44" t="n">
        <v>0</v>
      </c>
      <c r="AC208" s="43" t="n">
        <v>0</v>
      </c>
      <c r="AD208" s="43" t="n">
        <v>1</v>
      </c>
      <c r="AE208" s="44" t="n">
        <v>1</v>
      </c>
      <c r="AF208" s="44" t="n">
        <v>2</v>
      </c>
      <c r="AG208" s="43" t="n">
        <v>0</v>
      </c>
      <c r="AH208" s="43" t="n">
        <v>0</v>
      </c>
      <c r="AI208" s="43" t="n">
        <v>0</v>
      </c>
      <c r="AJ208" s="44"/>
      <c r="AK208" s="43" t="n">
        <v>0</v>
      </c>
      <c r="AL208" s="43" t="n">
        <v>4</v>
      </c>
      <c r="AM208" s="45" t="n">
        <v>0.7</v>
      </c>
      <c r="AN208" s="45" t="n">
        <v>0.3</v>
      </c>
      <c r="AO208" s="45" t="n">
        <v>0.75</v>
      </c>
      <c r="AP208" s="46" t="n">
        <v>1200</v>
      </c>
      <c r="AQ208" s="46" t="n">
        <v>1200</v>
      </c>
    </row>
    <row r="209" customFormat="false" ht="14.25" hidden="false" customHeight="false" outlineLevel="0" collapsed="false">
      <c r="A209" s="33" t="s">
        <v>370</v>
      </c>
      <c r="B209" s="33" t="n">
        <v>46146</v>
      </c>
      <c r="C209" s="34" t="s">
        <v>126</v>
      </c>
      <c r="D209" s="35" t="s">
        <v>186</v>
      </c>
      <c r="E209" s="35" t="s">
        <v>27</v>
      </c>
      <c r="F209" s="36" t="s">
        <v>364</v>
      </c>
      <c r="G209" s="37" t="s">
        <v>346</v>
      </c>
      <c r="H209" s="35" t="s">
        <v>347</v>
      </c>
      <c r="I209" s="35" t="s">
        <v>347</v>
      </c>
      <c r="J209" s="38" t="n">
        <v>22</v>
      </c>
      <c r="K209" s="47" t="n">
        <v>1</v>
      </c>
      <c r="L209" s="47" t="n">
        <v>1</v>
      </c>
      <c r="M209" s="47" t="n">
        <v>1</v>
      </c>
      <c r="N209" s="47" t="n">
        <v>1</v>
      </c>
      <c r="O209" s="40" t="n">
        <v>1</v>
      </c>
      <c r="P209" s="41" t="n">
        <v>1</v>
      </c>
      <c r="Q209" s="42" t="n">
        <v>4</v>
      </c>
      <c r="R209" s="42" t="n">
        <v>1</v>
      </c>
      <c r="S209" s="42" t="n">
        <v>5</v>
      </c>
      <c r="T209" s="42" t="n">
        <v>3</v>
      </c>
      <c r="U209" s="43" t="n">
        <v>0</v>
      </c>
      <c r="V209" s="43" t="n">
        <v>0</v>
      </c>
      <c r="W209" s="44" t="n">
        <v>0</v>
      </c>
      <c r="X209" s="44" t="n">
        <v>0</v>
      </c>
      <c r="Y209" s="43" t="n">
        <v>0</v>
      </c>
      <c r="Z209" s="43" t="n">
        <v>0</v>
      </c>
      <c r="AA209" s="44" t="n">
        <v>0</v>
      </c>
      <c r="AB209" s="44" t="n">
        <v>0</v>
      </c>
      <c r="AC209" s="43" t="n">
        <v>0</v>
      </c>
      <c r="AD209" s="43" t="n">
        <v>0</v>
      </c>
      <c r="AE209" s="44" t="n">
        <v>0</v>
      </c>
      <c r="AF209" s="44" t="n">
        <v>0</v>
      </c>
      <c r="AG209" s="43" t="n">
        <v>1</v>
      </c>
      <c r="AH209" s="43" t="n">
        <v>2</v>
      </c>
      <c r="AI209" s="43" t="n">
        <v>0</v>
      </c>
      <c r="AJ209" s="44"/>
      <c r="AK209" s="43" t="n">
        <v>0</v>
      </c>
      <c r="AL209" s="43" t="n">
        <v>1</v>
      </c>
      <c r="AM209" s="45" t="n">
        <v>0.7</v>
      </c>
      <c r="AN209" s="45" t="n">
        <v>0.3</v>
      </c>
      <c r="AO209" s="45" t="n">
        <v>1</v>
      </c>
      <c r="AP209" s="46" t="n">
        <v>1200</v>
      </c>
      <c r="AQ209" s="46" t="n">
        <v>1200</v>
      </c>
    </row>
    <row r="210" customFormat="false" ht="14.25" hidden="false" customHeight="false" outlineLevel="0" collapsed="false">
      <c r="A210" s="33" t="s">
        <v>371</v>
      </c>
      <c r="B210" s="33" t="n">
        <v>46157</v>
      </c>
      <c r="C210" s="34" t="s">
        <v>126</v>
      </c>
      <c r="D210" s="35" t="s">
        <v>186</v>
      </c>
      <c r="E210" s="35" t="s">
        <v>27</v>
      </c>
      <c r="F210" s="36" t="s">
        <v>372</v>
      </c>
      <c r="G210" s="37" t="s">
        <v>346</v>
      </c>
      <c r="H210" s="35" t="s">
        <v>347</v>
      </c>
      <c r="I210" s="35" t="s">
        <v>347</v>
      </c>
      <c r="J210" s="38" t="n">
        <v>22</v>
      </c>
      <c r="K210" s="47" t="n">
        <v>1</v>
      </c>
      <c r="L210" s="47" t="n">
        <v>1</v>
      </c>
      <c r="M210" s="47" t="n">
        <v>1</v>
      </c>
      <c r="N210" s="47" t="n">
        <v>1</v>
      </c>
      <c r="O210" s="40" t="n">
        <v>1</v>
      </c>
      <c r="P210" s="41" t="n">
        <v>1</v>
      </c>
      <c r="Q210" s="42" t="n">
        <v>4</v>
      </c>
      <c r="R210" s="42" t="n">
        <v>1</v>
      </c>
      <c r="S210" s="42" t="n">
        <v>5</v>
      </c>
      <c r="T210" s="42" t="n">
        <v>2</v>
      </c>
      <c r="U210" s="43" t="n">
        <v>0</v>
      </c>
      <c r="V210" s="43" t="n">
        <v>0</v>
      </c>
      <c r="W210" s="44" t="n">
        <v>0</v>
      </c>
      <c r="X210" s="44" t="n">
        <v>0</v>
      </c>
      <c r="Y210" s="43" t="n">
        <v>0</v>
      </c>
      <c r="Z210" s="43" t="n">
        <v>0</v>
      </c>
      <c r="AA210" s="44" t="n">
        <v>0</v>
      </c>
      <c r="AB210" s="44" t="n">
        <v>0</v>
      </c>
      <c r="AC210" s="43" t="n">
        <v>0</v>
      </c>
      <c r="AD210" s="43" t="n">
        <v>0</v>
      </c>
      <c r="AE210" s="44" t="n">
        <v>0</v>
      </c>
      <c r="AF210" s="44" t="n">
        <v>0</v>
      </c>
      <c r="AG210" s="43" t="n">
        <v>2</v>
      </c>
      <c r="AH210" s="43" t="n">
        <v>1</v>
      </c>
      <c r="AI210" s="43" t="n">
        <v>0</v>
      </c>
      <c r="AJ210" s="44"/>
      <c r="AK210" s="43" t="n">
        <v>0</v>
      </c>
      <c r="AL210" s="43" t="n">
        <v>1</v>
      </c>
      <c r="AM210" s="45" t="n">
        <v>0.7</v>
      </c>
      <c r="AN210" s="45" t="n">
        <v>0.3</v>
      </c>
      <c r="AO210" s="45" t="n">
        <v>1</v>
      </c>
      <c r="AP210" s="46" t="n">
        <v>1200</v>
      </c>
      <c r="AQ210" s="46" t="n">
        <v>1200</v>
      </c>
    </row>
    <row r="211" customFormat="false" ht="14.25" hidden="false" customHeight="false" outlineLevel="0" collapsed="false">
      <c r="A211" s="33" t="s">
        <v>373</v>
      </c>
      <c r="B211" s="33" t="n">
        <v>44816</v>
      </c>
      <c r="C211" s="34" t="s">
        <v>108</v>
      </c>
      <c r="D211" s="35" t="s">
        <v>186</v>
      </c>
      <c r="E211" s="35" t="s">
        <v>27</v>
      </c>
      <c r="F211" s="36" t="s">
        <v>372</v>
      </c>
      <c r="G211" s="37" t="s">
        <v>346</v>
      </c>
      <c r="H211" s="35" t="s">
        <v>347</v>
      </c>
      <c r="I211" s="35" t="s">
        <v>347</v>
      </c>
      <c r="J211" s="38" t="n">
        <v>11</v>
      </c>
      <c r="K211" s="47" t="n">
        <v>0</v>
      </c>
      <c r="L211" s="47" t="n">
        <v>0</v>
      </c>
      <c r="M211" s="47" t="n">
        <v>1</v>
      </c>
      <c r="N211" s="47" t="n">
        <v>1</v>
      </c>
      <c r="O211" s="40" t="n">
        <v>0.5</v>
      </c>
      <c r="P211" s="41" t="n">
        <v>0.5</v>
      </c>
      <c r="Q211" s="42" t="n">
        <v>2</v>
      </c>
      <c r="R211" s="42" t="n">
        <v>1</v>
      </c>
      <c r="S211" s="42" t="n">
        <v>3</v>
      </c>
      <c r="T211" s="42" t="n">
        <v>2</v>
      </c>
      <c r="U211" s="43" t="n">
        <v>0</v>
      </c>
      <c r="V211" s="43" t="n">
        <v>0</v>
      </c>
      <c r="W211" s="44" t="n">
        <v>0</v>
      </c>
      <c r="X211" s="44" t="n">
        <v>0</v>
      </c>
      <c r="Y211" s="43" t="n">
        <v>0</v>
      </c>
      <c r="Z211" s="43" t="n">
        <v>0</v>
      </c>
      <c r="AA211" s="44" t="n">
        <v>0</v>
      </c>
      <c r="AB211" s="44" t="n">
        <v>0</v>
      </c>
      <c r="AC211" s="43" t="n">
        <v>0</v>
      </c>
      <c r="AD211" s="43" t="n">
        <v>0</v>
      </c>
      <c r="AE211" s="44" t="n">
        <v>0</v>
      </c>
      <c r="AF211" s="44" t="n">
        <v>0</v>
      </c>
      <c r="AG211" s="43" t="n">
        <v>0</v>
      </c>
      <c r="AH211" s="43" t="n">
        <v>0</v>
      </c>
      <c r="AI211" s="43" t="n">
        <v>0</v>
      </c>
      <c r="AJ211" s="44"/>
      <c r="AK211" s="43" t="n">
        <v>0</v>
      </c>
      <c r="AL211" s="43" t="n">
        <v>0</v>
      </c>
      <c r="AM211" s="45" t="n">
        <v>0.7</v>
      </c>
      <c r="AN211" s="45" t="n">
        <v>0.3</v>
      </c>
      <c r="AO211" s="45" t="n">
        <v>0.5</v>
      </c>
      <c r="AP211" s="46" t="n">
        <v>1200</v>
      </c>
      <c r="AQ211" s="46" t="n">
        <v>600</v>
      </c>
    </row>
    <row r="212" customFormat="false" ht="14.25" hidden="false" customHeight="false" outlineLevel="0" collapsed="false">
      <c r="A212" s="33" t="s">
        <v>374</v>
      </c>
      <c r="B212" s="33" t="n">
        <v>46113</v>
      </c>
      <c r="C212" s="34" t="s">
        <v>140</v>
      </c>
      <c r="D212" s="35" t="s">
        <v>186</v>
      </c>
      <c r="E212" s="35" t="s">
        <v>27</v>
      </c>
      <c r="F212" s="36" t="s">
        <v>372</v>
      </c>
      <c r="G212" s="37" t="s">
        <v>346</v>
      </c>
      <c r="H212" s="35" t="s">
        <v>347</v>
      </c>
      <c r="I212" s="35" t="s">
        <v>347</v>
      </c>
      <c r="J212" s="38" t="n">
        <v>22</v>
      </c>
      <c r="K212" s="47" t="n">
        <v>1</v>
      </c>
      <c r="L212" s="47" t="n">
        <v>1</v>
      </c>
      <c r="M212" s="47" t="n">
        <v>1</v>
      </c>
      <c r="N212" s="47" t="n">
        <v>1</v>
      </c>
      <c r="O212" s="40" t="n">
        <v>1</v>
      </c>
      <c r="P212" s="41" t="n">
        <v>1</v>
      </c>
      <c r="Q212" s="42" t="n">
        <v>4</v>
      </c>
      <c r="R212" s="42" t="n">
        <v>1</v>
      </c>
      <c r="S212" s="42" t="n">
        <v>5</v>
      </c>
      <c r="T212" s="42" t="n">
        <v>2</v>
      </c>
      <c r="U212" s="43" t="n">
        <v>0</v>
      </c>
      <c r="V212" s="43" t="n">
        <v>0</v>
      </c>
      <c r="W212" s="44" t="n">
        <v>0</v>
      </c>
      <c r="X212" s="44" t="n">
        <v>0</v>
      </c>
      <c r="Y212" s="43" t="n">
        <v>0</v>
      </c>
      <c r="Z212" s="43" t="n">
        <v>0</v>
      </c>
      <c r="AA212" s="44" t="n">
        <v>0</v>
      </c>
      <c r="AB212" s="44" t="n">
        <v>0</v>
      </c>
      <c r="AC212" s="43" t="n">
        <v>0</v>
      </c>
      <c r="AD212" s="43" t="n">
        <v>0</v>
      </c>
      <c r="AE212" s="44" t="n">
        <v>0</v>
      </c>
      <c r="AF212" s="44" t="n">
        <v>0</v>
      </c>
      <c r="AG212" s="43" t="n">
        <v>0</v>
      </c>
      <c r="AH212" s="43" t="n">
        <v>1</v>
      </c>
      <c r="AI212" s="43" t="n">
        <v>0</v>
      </c>
      <c r="AJ212" s="44"/>
      <c r="AK212" s="43" t="n">
        <v>0</v>
      </c>
      <c r="AL212" s="43" t="n">
        <v>1</v>
      </c>
      <c r="AM212" s="45" t="n">
        <v>0.7</v>
      </c>
      <c r="AN212" s="45" t="n">
        <v>0.3</v>
      </c>
      <c r="AO212" s="45" t="n">
        <v>1</v>
      </c>
      <c r="AP212" s="46" t="n">
        <v>1200</v>
      </c>
      <c r="AQ212" s="46" t="n">
        <v>1200</v>
      </c>
    </row>
    <row r="213" customFormat="false" ht="14.25" hidden="false" customHeight="false" outlineLevel="0" collapsed="false">
      <c r="A213" s="33" t="s">
        <v>375</v>
      </c>
      <c r="B213" s="33" t="n">
        <v>46146</v>
      </c>
      <c r="C213" s="34" t="s">
        <v>126</v>
      </c>
      <c r="D213" s="35" t="s">
        <v>186</v>
      </c>
      <c r="E213" s="35" t="s">
        <v>27</v>
      </c>
      <c r="F213" s="36" t="s">
        <v>372</v>
      </c>
      <c r="G213" s="37" t="s">
        <v>346</v>
      </c>
      <c r="H213" s="35" t="s">
        <v>347</v>
      </c>
      <c r="I213" s="35" t="s">
        <v>347</v>
      </c>
      <c r="J213" s="38" t="n">
        <v>22</v>
      </c>
      <c r="K213" s="47" t="n">
        <v>1</v>
      </c>
      <c r="L213" s="47" t="n">
        <v>1</v>
      </c>
      <c r="M213" s="47" t="n">
        <v>1</v>
      </c>
      <c r="N213" s="47" t="n">
        <v>1</v>
      </c>
      <c r="O213" s="40" t="n">
        <v>1</v>
      </c>
      <c r="P213" s="41" t="n">
        <v>1</v>
      </c>
      <c r="Q213" s="42" t="n">
        <v>4</v>
      </c>
      <c r="R213" s="42" t="n">
        <v>1</v>
      </c>
      <c r="S213" s="42" t="n">
        <v>5</v>
      </c>
      <c r="T213" s="42" t="n">
        <v>2</v>
      </c>
      <c r="U213" s="43" t="n">
        <v>0</v>
      </c>
      <c r="V213" s="43" t="n">
        <v>0</v>
      </c>
      <c r="W213" s="44" t="n">
        <v>0</v>
      </c>
      <c r="X213" s="44" t="n">
        <v>0</v>
      </c>
      <c r="Y213" s="43" t="n">
        <v>0</v>
      </c>
      <c r="Z213" s="43" t="n">
        <v>0</v>
      </c>
      <c r="AA213" s="44" t="n">
        <v>0</v>
      </c>
      <c r="AB213" s="44" t="n">
        <v>0</v>
      </c>
      <c r="AC213" s="43" t="n">
        <v>0</v>
      </c>
      <c r="AD213" s="43" t="n">
        <v>0</v>
      </c>
      <c r="AE213" s="44" t="n">
        <v>0</v>
      </c>
      <c r="AF213" s="44" t="n">
        <v>0</v>
      </c>
      <c r="AG213" s="43" t="n">
        <v>0</v>
      </c>
      <c r="AH213" s="43" t="n">
        <v>0</v>
      </c>
      <c r="AI213" s="43" t="n">
        <v>1</v>
      </c>
      <c r="AJ213" s="44"/>
      <c r="AK213" s="43" t="n">
        <v>0</v>
      </c>
      <c r="AL213" s="43" t="n">
        <v>0</v>
      </c>
      <c r="AM213" s="45" t="n">
        <v>0.7</v>
      </c>
      <c r="AN213" s="45" t="n">
        <v>0.3</v>
      </c>
      <c r="AO213" s="45" t="n">
        <v>1</v>
      </c>
      <c r="AP213" s="46" t="n">
        <v>1200</v>
      </c>
      <c r="AQ213" s="46" t="n">
        <v>1200</v>
      </c>
    </row>
    <row r="214" customFormat="false" ht="14.25" hidden="false" customHeight="false" outlineLevel="0" collapsed="false">
      <c r="A214" s="33" t="s">
        <v>376</v>
      </c>
      <c r="B214" s="33" t="n">
        <v>46235</v>
      </c>
      <c r="C214" s="34" t="s">
        <v>176</v>
      </c>
      <c r="D214" s="35" t="s">
        <v>186</v>
      </c>
      <c r="E214" s="35" t="s">
        <v>27</v>
      </c>
      <c r="F214" s="36" t="s">
        <v>372</v>
      </c>
      <c r="G214" s="37" t="s">
        <v>346</v>
      </c>
      <c r="H214" s="35" t="s">
        <v>347</v>
      </c>
      <c r="I214" s="35" t="s">
        <v>347</v>
      </c>
      <c r="J214" s="38" t="n">
        <v>22</v>
      </c>
      <c r="K214" s="47" t="n">
        <v>1</v>
      </c>
      <c r="L214" s="47" t="n">
        <v>1</v>
      </c>
      <c r="M214" s="47" t="n">
        <v>1</v>
      </c>
      <c r="N214" s="47" t="n">
        <v>1</v>
      </c>
      <c r="O214" s="40" t="n">
        <v>1</v>
      </c>
      <c r="P214" s="41" t="n">
        <v>1</v>
      </c>
      <c r="Q214" s="42" t="n">
        <v>3</v>
      </c>
      <c r="R214" s="42" t="n">
        <v>1</v>
      </c>
      <c r="S214" s="42" t="n">
        <v>4</v>
      </c>
      <c r="T214" s="42" t="n">
        <v>1</v>
      </c>
      <c r="U214" s="43" t="n">
        <v>0</v>
      </c>
      <c r="V214" s="43" t="n">
        <v>0</v>
      </c>
      <c r="W214" s="44" t="n">
        <v>0</v>
      </c>
      <c r="X214" s="44" t="n">
        <v>0</v>
      </c>
      <c r="Y214" s="43" t="n">
        <v>0</v>
      </c>
      <c r="Z214" s="43" t="n">
        <v>0</v>
      </c>
      <c r="AA214" s="44" t="n">
        <v>0</v>
      </c>
      <c r="AB214" s="44" t="n">
        <v>0</v>
      </c>
      <c r="AC214" s="43" t="n">
        <v>0</v>
      </c>
      <c r="AD214" s="43" t="n">
        <v>0</v>
      </c>
      <c r="AE214" s="44" t="n">
        <v>0</v>
      </c>
      <c r="AF214" s="44" t="n">
        <v>0</v>
      </c>
      <c r="AG214" s="43" t="n">
        <v>0</v>
      </c>
      <c r="AH214" s="43" t="n">
        <v>1</v>
      </c>
      <c r="AI214" s="43" t="n">
        <v>1</v>
      </c>
      <c r="AJ214" s="44"/>
      <c r="AK214" s="43" t="n">
        <v>0</v>
      </c>
      <c r="AL214" s="43" t="n">
        <v>1</v>
      </c>
      <c r="AM214" s="45" t="n">
        <v>0.7</v>
      </c>
      <c r="AN214" s="45" t="n">
        <v>0.3</v>
      </c>
      <c r="AO214" s="45" t="n">
        <v>1</v>
      </c>
      <c r="AP214" s="46" t="n">
        <v>1200</v>
      </c>
      <c r="AQ214" s="46" t="n">
        <v>1200</v>
      </c>
    </row>
    <row r="215" customFormat="false" ht="14.25" hidden="false" customHeight="false" outlineLevel="0" collapsed="false">
      <c r="A215" s="33" t="s">
        <v>377</v>
      </c>
      <c r="B215" s="33" t="n">
        <v>46235</v>
      </c>
      <c r="C215" s="34" t="s">
        <v>176</v>
      </c>
      <c r="D215" s="35" t="s">
        <v>186</v>
      </c>
      <c r="E215" s="35" t="s">
        <v>27</v>
      </c>
      <c r="F215" s="36" t="s">
        <v>372</v>
      </c>
      <c r="G215" s="37" t="s">
        <v>346</v>
      </c>
      <c r="H215" s="35" t="s">
        <v>347</v>
      </c>
      <c r="I215" s="35" t="s">
        <v>347</v>
      </c>
      <c r="J215" s="38" t="n">
        <v>22</v>
      </c>
      <c r="K215" s="47" t="n">
        <v>1</v>
      </c>
      <c r="L215" s="47" t="n">
        <v>1</v>
      </c>
      <c r="M215" s="47" t="n">
        <v>1</v>
      </c>
      <c r="N215" s="47" t="n">
        <v>1</v>
      </c>
      <c r="O215" s="40" t="n">
        <v>1</v>
      </c>
      <c r="P215" s="41" t="n">
        <v>1</v>
      </c>
      <c r="Q215" s="42" t="n">
        <v>3</v>
      </c>
      <c r="R215" s="42" t="n">
        <v>1</v>
      </c>
      <c r="S215" s="42" t="n">
        <v>4</v>
      </c>
      <c r="T215" s="42" t="n">
        <v>2</v>
      </c>
      <c r="U215" s="43" t="n">
        <v>0</v>
      </c>
      <c r="V215" s="43" t="n">
        <v>0</v>
      </c>
      <c r="W215" s="44" t="n">
        <v>0</v>
      </c>
      <c r="X215" s="44" t="n">
        <v>0</v>
      </c>
      <c r="Y215" s="43" t="n">
        <v>0</v>
      </c>
      <c r="Z215" s="43" t="n">
        <v>0</v>
      </c>
      <c r="AA215" s="44" t="n">
        <v>0</v>
      </c>
      <c r="AB215" s="44" t="n">
        <v>0</v>
      </c>
      <c r="AC215" s="43" t="n">
        <v>0</v>
      </c>
      <c r="AD215" s="43" t="n">
        <v>0</v>
      </c>
      <c r="AE215" s="44" t="n">
        <v>0</v>
      </c>
      <c r="AF215" s="44" t="n">
        <v>0</v>
      </c>
      <c r="AG215" s="43" t="n">
        <v>0</v>
      </c>
      <c r="AH215" s="43" t="n">
        <v>0</v>
      </c>
      <c r="AI215" s="43" t="n">
        <v>0</v>
      </c>
      <c r="AJ215" s="44"/>
      <c r="AK215" s="43" t="n">
        <v>0</v>
      </c>
      <c r="AL215" s="43" t="n">
        <v>0</v>
      </c>
      <c r="AM215" s="45" t="n">
        <v>0.7</v>
      </c>
      <c r="AN215" s="45" t="n">
        <v>0.3</v>
      </c>
      <c r="AO215" s="45" t="n">
        <v>1</v>
      </c>
      <c r="AP215" s="46" t="n">
        <v>1200</v>
      </c>
      <c r="AQ215" s="46" t="n">
        <v>1200</v>
      </c>
    </row>
    <row r="216" customFormat="false" ht="14.25" hidden="false" customHeight="false" outlineLevel="0" collapsed="false">
      <c r="A216" s="33" t="s">
        <v>378</v>
      </c>
      <c r="B216" s="33" t="n">
        <v>46235</v>
      </c>
      <c r="C216" s="34" t="s">
        <v>176</v>
      </c>
      <c r="D216" s="35" t="s">
        <v>186</v>
      </c>
      <c r="E216" s="35" t="s">
        <v>27</v>
      </c>
      <c r="F216" s="36" t="s">
        <v>372</v>
      </c>
      <c r="G216" s="37" t="s">
        <v>346</v>
      </c>
      <c r="H216" s="35" t="s">
        <v>347</v>
      </c>
      <c r="I216" s="35" t="s">
        <v>347</v>
      </c>
      <c r="J216" s="38" t="n">
        <v>22</v>
      </c>
      <c r="K216" s="47" t="n">
        <v>1</v>
      </c>
      <c r="L216" s="47" t="n">
        <v>1</v>
      </c>
      <c r="M216" s="47" t="n">
        <v>1</v>
      </c>
      <c r="N216" s="47" t="n">
        <v>1</v>
      </c>
      <c r="O216" s="40" t="n">
        <v>1</v>
      </c>
      <c r="P216" s="41" t="n">
        <v>1</v>
      </c>
      <c r="Q216" s="42" t="n">
        <v>3</v>
      </c>
      <c r="R216" s="42" t="n">
        <v>1</v>
      </c>
      <c r="S216" s="42" t="n">
        <v>4</v>
      </c>
      <c r="T216" s="42" t="n">
        <v>2</v>
      </c>
      <c r="U216" s="43" t="n">
        <v>0</v>
      </c>
      <c r="V216" s="43" t="n">
        <v>0</v>
      </c>
      <c r="W216" s="44" t="n">
        <v>0</v>
      </c>
      <c r="X216" s="44" t="n">
        <v>0</v>
      </c>
      <c r="Y216" s="43" t="n">
        <v>0</v>
      </c>
      <c r="Z216" s="43" t="n">
        <v>0</v>
      </c>
      <c r="AA216" s="44" t="n">
        <v>0</v>
      </c>
      <c r="AB216" s="44" t="n">
        <v>0</v>
      </c>
      <c r="AC216" s="43" t="n">
        <v>0</v>
      </c>
      <c r="AD216" s="43" t="n">
        <v>0</v>
      </c>
      <c r="AE216" s="44" t="n">
        <v>0</v>
      </c>
      <c r="AF216" s="44" t="n">
        <v>0</v>
      </c>
      <c r="AG216" s="43" t="n">
        <v>1</v>
      </c>
      <c r="AH216" s="43" t="n">
        <v>0</v>
      </c>
      <c r="AI216" s="43" t="n">
        <v>0</v>
      </c>
      <c r="AJ216" s="44"/>
      <c r="AK216" s="43" t="n">
        <v>0</v>
      </c>
      <c r="AL216" s="43" t="n">
        <v>0</v>
      </c>
      <c r="AM216" s="45" t="n">
        <v>0.7</v>
      </c>
      <c r="AN216" s="45" t="n">
        <v>0.3</v>
      </c>
      <c r="AO216" s="45" t="n">
        <v>1</v>
      </c>
      <c r="AP216" s="46" t="n">
        <v>1200</v>
      </c>
      <c r="AQ216" s="46" t="n">
        <v>1200</v>
      </c>
    </row>
    <row r="217" customFormat="false" ht="14.25" hidden="false" customHeight="false" outlineLevel="0" collapsed="false">
      <c r="A217" s="33" t="s">
        <v>379</v>
      </c>
      <c r="B217" s="33" t="n">
        <v>46183</v>
      </c>
      <c r="C217" s="34" t="s">
        <v>199</v>
      </c>
      <c r="D217" s="35" t="s">
        <v>186</v>
      </c>
      <c r="E217" s="35" t="s">
        <v>27</v>
      </c>
      <c r="F217" s="36" t="s">
        <v>372</v>
      </c>
      <c r="G217" s="37" t="s">
        <v>346</v>
      </c>
      <c r="H217" s="35" t="s">
        <v>347</v>
      </c>
      <c r="I217" s="35" t="s">
        <v>347</v>
      </c>
      <c r="J217" s="38" t="n">
        <v>22</v>
      </c>
      <c r="K217" s="47" t="n">
        <v>1</v>
      </c>
      <c r="L217" s="47" t="n">
        <v>1</v>
      </c>
      <c r="M217" s="47" t="n">
        <v>1</v>
      </c>
      <c r="N217" s="47" t="n">
        <v>1</v>
      </c>
      <c r="O217" s="40" t="n">
        <v>1</v>
      </c>
      <c r="P217" s="41" t="n">
        <v>1</v>
      </c>
      <c r="Q217" s="42" t="n">
        <v>3</v>
      </c>
      <c r="R217" s="42" t="n">
        <v>1</v>
      </c>
      <c r="S217" s="42" t="n">
        <v>4</v>
      </c>
      <c r="T217" s="42" t="n">
        <v>2</v>
      </c>
      <c r="U217" s="43" t="n">
        <v>0</v>
      </c>
      <c r="V217" s="43" t="n">
        <v>0</v>
      </c>
      <c r="W217" s="44" t="n">
        <v>0</v>
      </c>
      <c r="X217" s="44" t="n">
        <v>0</v>
      </c>
      <c r="Y217" s="43" t="n">
        <v>0</v>
      </c>
      <c r="Z217" s="43" t="n">
        <v>0</v>
      </c>
      <c r="AA217" s="44" t="n">
        <v>0</v>
      </c>
      <c r="AB217" s="44" t="n">
        <v>0</v>
      </c>
      <c r="AC217" s="43" t="n">
        <v>0</v>
      </c>
      <c r="AD217" s="43" t="n">
        <v>0</v>
      </c>
      <c r="AE217" s="44" t="n">
        <v>0</v>
      </c>
      <c r="AF217" s="44" t="n">
        <v>0</v>
      </c>
      <c r="AG217" s="43" t="n">
        <v>3</v>
      </c>
      <c r="AH217" s="43" t="n">
        <v>1</v>
      </c>
      <c r="AI217" s="43" t="n">
        <v>0</v>
      </c>
      <c r="AJ217" s="44"/>
      <c r="AK217" s="43" t="n">
        <v>0</v>
      </c>
      <c r="AL217" s="43" t="n">
        <v>1</v>
      </c>
      <c r="AM217" s="45" t="n">
        <v>0.7</v>
      </c>
      <c r="AN217" s="45" t="n">
        <v>0.3</v>
      </c>
      <c r="AO217" s="45" t="n">
        <v>1</v>
      </c>
      <c r="AP217" s="46" t="n">
        <v>1200</v>
      </c>
      <c r="AQ217" s="46" t="n">
        <v>1200</v>
      </c>
    </row>
    <row r="218" customFormat="false" ht="14.25" hidden="false" customHeight="false" outlineLevel="0" collapsed="false">
      <c r="A218" s="33" t="s">
        <v>380</v>
      </c>
      <c r="B218" s="33" t="n">
        <v>46205</v>
      </c>
      <c r="C218" s="34" t="s">
        <v>190</v>
      </c>
      <c r="D218" s="35" t="s">
        <v>186</v>
      </c>
      <c r="E218" s="35" t="s">
        <v>26</v>
      </c>
      <c r="F218" s="36" t="s">
        <v>354</v>
      </c>
      <c r="G218" s="37" t="s">
        <v>346</v>
      </c>
      <c r="H218" s="35" t="s">
        <v>347</v>
      </c>
      <c r="I218" s="35" t="s">
        <v>347</v>
      </c>
      <c r="J218" s="38" t="n">
        <v>22</v>
      </c>
      <c r="K218" s="47" t="n">
        <v>1</v>
      </c>
      <c r="L218" s="47" t="n">
        <v>1</v>
      </c>
      <c r="M218" s="47" t="n">
        <v>1</v>
      </c>
      <c r="N218" s="47" t="n">
        <v>1</v>
      </c>
      <c r="O218" s="40" t="n">
        <v>1</v>
      </c>
      <c r="P218" s="41" t="n">
        <v>1</v>
      </c>
      <c r="Q218" s="42" t="n">
        <v>4</v>
      </c>
      <c r="R218" s="42" t="n">
        <v>1</v>
      </c>
      <c r="S218" s="42" t="n">
        <v>5</v>
      </c>
      <c r="T218" s="42" t="n">
        <v>3</v>
      </c>
      <c r="U218" s="43" t="n">
        <v>0</v>
      </c>
      <c r="V218" s="43" t="n">
        <v>0</v>
      </c>
      <c r="W218" s="44" t="n">
        <v>0</v>
      </c>
      <c r="X218" s="44" t="n">
        <v>0</v>
      </c>
      <c r="Y218" s="43" t="n">
        <v>0</v>
      </c>
      <c r="Z218" s="43" t="n">
        <v>0</v>
      </c>
      <c r="AA218" s="44" t="n">
        <v>0</v>
      </c>
      <c r="AB218" s="44" t="n">
        <v>0</v>
      </c>
      <c r="AC218" s="43" t="n">
        <v>0</v>
      </c>
      <c r="AD218" s="43" t="n">
        <v>0</v>
      </c>
      <c r="AE218" s="44" t="n">
        <v>0</v>
      </c>
      <c r="AF218" s="44" t="n">
        <v>0</v>
      </c>
      <c r="AG218" s="43" t="n">
        <v>0</v>
      </c>
      <c r="AH218" s="43" t="n">
        <v>0</v>
      </c>
      <c r="AI218" s="43" t="n">
        <v>0</v>
      </c>
      <c r="AJ218" s="44"/>
      <c r="AK218" s="43" t="n">
        <v>0</v>
      </c>
      <c r="AL218" s="43" t="n">
        <v>0</v>
      </c>
      <c r="AM218" s="45" t="n">
        <v>0.7</v>
      </c>
      <c r="AN218" s="45" t="n">
        <v>0.3</v>
      </c>
      <c r="AO218" s="45" t="n">
        <v>1</v>
      </c>
      <c r="AP218" s="46" t="n">
        <v>1200</v>
      </c>
      <c r="AQ218" s="46" t="n">
        <v>1200</v>
      </c>
    </row>
    <row r="219" customFormat="false" ht="14.25" hidden="false" customHeight="false" outlineLevel="0" collapsed="false">
      <c r="A219" s="33" t="s">
        <v>381</v>
      </c>
      <c r="B219" s="33" t="n">
        <v>45547</v>
      </c>
      <c r="C219" s="34" t="s">
        <v>108</v>
      </c>
      <c r="D219" s="35" t="s">
        <v>186</v>
      </c>
      <c r="E219" s="35" t="s">
        <v>27</v>
      </c>
      <c r="F219" s="36" t="s">
        <v>372</v>
      </c>
      <c r="G219" s="37" t="s">
        <v>346</v>
      </c>
      <c r="H219" s="35" t="s">
        <v>347</v>
      </c>
      <c r="I219" s="35" t="s">
        <v>347</v>
      </c>
      <c r="J219" s="38" t="n">
        <v>11</v>
      </c>
      <c r="K219" s="47" t="n">
        <v>1</v>
      </c>
      <c r="L219" s="47" t="n">
        <v>1</v>
      </c>
      <c r="M219" s="47" t="n">
        <v>0</v>
      </c>
      <c r="N219" s="47" t="n">
        <v>0</v>
      </c>
      <c r="O219" s="40" t="n">
        <v>0.5</v>
      </c>
      <c r="P219" s="41" t="n">
        <v>0.5</v>
      </c>
      <c r="Q219" s="42" t="n">
        <v>2</v>
      </c>
      <c r="R219" s="42" t="n">
        <v>1</v>
      </c>
      <c r="S219" s="42" t="n">
        <v>3</v>
      </c>
      <c r="T219" s="42" t="n">
        <v>1</v>
      </c>
      <c r="U219" s="43" t="n">
        <v>0</v>
      </c>
      <c r="V219" s="43" t="n">
        <v>0</v>
      </c>
      <c r="W219" s="44" t="n">
        <v>0</v>
      </c>
      <c r="X219" s="44" t="n">
        <v>0</v>
      </c>
      <c r="Y219" s="43" t="n">
        <v>0</v>
      </c>
      <c r="Z219" s="43" t="n">
        <v>0</v>
      </c>
      <c r="AA219" s="44" t="n">
        <v>0</v>
      </c>
      <c r="AB219" s="44" t="n">
        <v>0</v>
      </c>
      <c r="AC219" s="43" t="n">
        <v>0</v>
      </c>
      <c r="AD219" s="43" t="n">
        <v>0</v>
      </c>
      <c r="AE219" s="44" t="n">
        <v>0</v>
      </c>
      <c r="AF219" s="44" t="n">
        <v>0</v>
      </c>
      <c r="AG219" s="43" t="n">
        <v>0</v>
      </c>
      <c r="AH219" s="43" t="n">
        <v>0</v>
      </c>
      <c r="AI219" s="43" t="n">
        <v>0</v>
      </c>
      <c r="AJ219" s="44"/>
      <c r="AK219" s="43" t="n">
        <v>0</v>
      </c>
      <c r="AL219" s="43" t="n">
        <v>0</v>
      </c>
      <c r="AM219" s="45" t="n">
        <v>0.7</v>
      </c>
      <c r="AN219" s="45" t="n">
        <v>0.3</v>
      </c>
      <c r="AO219" s="45" t="n">
        <v>0.5</v>
      </c>
      <c r="AP219" s="46" t="n">
        <v>1200</v>
      </c>
      <c r="AQ219" s="46" t="n">
        <v>600</v>
      </c>
    </row>
    <row r="220" customFormat="false" ht="14.25" hidden="false" customHeight="false" outlineLevel="0" collapsed="false">
      <c r="A220" s="33" t="s">
        <v>382</v>
      </c>
      <c r="B220" s="33" t="n">
        <v>45992</v>
      </c>
      <c r="C220" s="34" t="s">
        <v>117</v>
      </c>
      <c r="D220" s="35" t="s">
        <v>186</v>
      </c>
      <c r="E220" s="35" t="s">
        <v>27</v>
      </c>
      <c r="F220" s="36" t="s">
        <v>372</v>
      </c>
      <c r="G220" s="37" t="s">
        <v>346</v>
      </c>
      <c r="H220" s="35" t="s">
        <v>347</v>
      </c>
      <c r="I220" s="35" t="s">
        <v>347</v>
      </c>
      <c r="J220" s="38" t="n">
        <v>11</v>
      </c>
      <c r="K220" s="47" t="n">
        <v>0</v>
      </c>
      <c r="L220" s="47" t="n">
        <v>0</v>
      </c>
      <c r="M220" s="47" t="n">
        <v>1</v>
      </c>
      <c r="N220" s="47" t="n">
        <v>1</v>
      </c>
      <c r="O220" s="40" t="n">
        <v>0.5</v>
      </c>
      <c r="P220" s="41" t="n">
        <v>0.5</v>
      </c>
      <c r="Q220" s="42" t="n">
        <v>2</v>
      </c>
      <c r="R220" s="42" t="n">
        <v>1</v>
      </c>
      <c r="S220" s="42" t="n">
        <v>3</v>
      </c>
      <c r="T220" s="42" t="n">
        <v>2</v>
      </c>
      <c r="U220" s="43" t="n">
        <v>0</v>
      </c>
      <c r="V220" s="43" t="n">
        <v>0</v>
      </c>
      <c r="W220" s="44" t="n">
        <v>0</v>
      </c>
      <c r="X220" s="44" t="n">
        <v>0</v>
      </c>
      <c r="Y220" s="43" t="n">
        <v>0</v>
      </c>
      <c r="Z220" s="43" t="n">
        <v>0</v>
      </c>
      <c r="AA220" s="44" t="n">
        <v>0</v>
      </c>
      <c r="AB220" s="44" t="n">
        <v>0</v>
      </c>
      <c r="AC220" s="43" t="n">
        <v>0</v>
      </c>
      <c r="AD220" s="43" t="n">
        <v>0</v>
      </c>
      <c r="AE220" s="44" t="n">
        <v>0</v>
      </c>
      <c r="AF220" s="44" t="n">
        <v>0</v>
      </c>
      <c r="AG220" s="43" t="n">
        <v>0</v>
      </c>
      <c r="AH220" s="43" t="n">
        <v>1</v>
      </c>
      <c r="AI220" s="43" t="n">
        <v>0</v>
      </c>
      <c r="AJ220" s="44"/>
      <c r="AK220" s="43" t="n">
        <v>0</v>
      </c>
      <c r="AL220" s="43" t="n">
        <v>0</v>
      </c>
      <c r="AM220" s="45" t="n">
        <v>0.7</v>
      </c>
      <c r="AN220" s="45" t="n">
        <v>0.3</v>
      </c>
      <c r="AO220" s="45" t="n">
        <v>0.5</v>
      </c>
      <c r="AP220" s="46" t="n">
        <v>1200</v>
      </c>
      <c r="AQ220" s="46" t="n">
        <v>600</v>
      </c>
    </row>
    <row r="221" customFormat="false" ht="14.25" hidden="false" customHeight="false" outlineLevel="0" collapsed="false">
      <c r="A221" s="33" t="s">
        <v>383</v>
      </c>
      <c r="B221" s="33" t="n">
        <v>46146</v>
      </c>
      <c r="C221" s="34" t="s">
        <v>126</v>
      </c>
      <c r="D221" s="35" t="s">
        <v>186</v>
      </c>
      <c r="E221" s="35" t="s">
        <v>27</v>
      </c>
      <c r="F221" s="36" t="s">
        <v>372</v>
      </c>
      <c r="G221" s="37" t="s">
        <v>346</v>
      </c>
      <c r="H221" s="35" t="s">
        <v>347</v>
      </c>
      <c r="I221" s="35" t="s">
        <v>347</v>
      </c>
      <c r="J221" s="38" t="n">
        <v>22</v>
      </c>
      <c r="K221" s="47" t="n">
        <v>1</v>
      </c>
      <c r="L221" s="47" t="n">
        <v>1</v>
      </c>
      <c r="M221" s="47" t="n">
        <v>1</v>
      </c>
      <c r="N221" s="47" t="n">
        <v>1</v>
      </c>
      <c r="O221" s="40" t="n">
        <v>1</v>
      </c>
      <c r="P221" s="41" t="n">
        <v>1</v>
      </c>
      <c r="Q221" s="42" t="n">
        <v>4</v>
      </c>
      <c r="R221" s="42" t="n">
        <v>1</v>
      </c>
      <c r="S221" s="42" t="n">
        <v>5</v>
      </c>
      <c r="T221" s="42" t="n">
        <v>2</v>
      </c>
      <c r="U221" s="43" t="n">
        <v>0</v>
      </c>
      <c r="V221" s="43" t="n">
        <v>0</v>
      </c>
      <c r="W221" s="44" t="n">
        <v>0</v>
      </c>
      <c r="X221" s="44" t="n">
        <v>0</v>
      </c>
      <c r="Y221" s="43" t="n">
        <v>0</v>
      </c>
      <c r="Z221" s="43" t="n">
        <v>0</v>
      </c>
      <c r="AA221" s="44" t="n">
        <v>0</v>
      </c>
      <c r="AB221" s="44" t="n">
        <v>0</v>
      </c>
      <c r="AC221" s="43" t="n">
        <v>0</v>
      </c>
      <c r="AD221" s="43" t="n">
        <v>0</v>
      </c>
      <c r="AE221" s="44" t="n">
        <v>0</v>
      </c>
      <c r="AF221" s="44" t="n">
        <v>0</v>
      </c>
      <c r="AG221" s="43" t="n">
        <v>0</v>
      </c>
      <c r="AH221" s="43" t="n">
        <v>1</v>
      </c>
      <c r="AI221" s="43" t="n">
        <v>0</v>
      </c>
      <c r="AJ221" s="44"/>
      <c r="AK221" s="43" t="n">
        <v>0</v>
      </c>
      <c r="AL221" s="43" t="n">
        <v>2</v>
      </c>
      <c r="AM221" s="45" t="n">
        <v>0.7</v>
      </c>
      <c r="AN221" s="45" t="n">
        <v>0.3</v>
      </c>
      <c r="AO221" s="45" t="n">
        <v>1</v>
      </c>
      <c r="AP221" s="46" t="n">
        <v>1200</v>
      </c>
      <c r="AQ221" s="46" t="n">
        <v>1200</v>
      </c>
    </row>
    <row r="222" customFormat="false" ht="14.25" hidden="false" customHeight="false" outlineLevel="0" collapsed="false">
      <c r="A222" s="33" t="s">
        <v>384</v>
      </c>
      <c r="B222" s="33" t="n">
        <v>46113</v>
      </c>
      <c r="C222" s="34" t="s">
        <v>140</v>
      </c>
      <c r="D222" s="35" t="s">
        <v>186</v>
      </c>
      <c r="E222" s="35" t="s">
        <v>27</v>
      </c>
      <c r="F222" s="36" t="s">
        <v>372</v>
      </c>
      <c r="G222" s="37" t="s">
        <v>346</v>
      </c>
      <c r="H222" s="35" t="s">
        <v>347</v>
      </c>
      <c r="I222" s="35" t="s">
        <v>347</v>
      </c>
      <c r="J222" s="38" t="n">
        <v>22</v>
      </c>
      <c r="K222" s="47" t="n">
        <v>1</v>
      </c>
      <c r="L222" s="47" t="n">
        <v>1</v>
      </c>
      <c r="M222" s="47" t="n">
        <v>1</v>
      </c>
      <c r="N222" s="47" t="n">
        <v>1</v>
      </c>
      <c r="O222" s="40" t="n">
        <v>1</v>
      </c>
      <c r="P222" s="41" t="n">
        <v>1</v>
      </c>
      <c r="Q222" s="42" t="n">
        <v>4</v>
      </c>
      <c r="R222" s="42" t="n">
        <v>1</v>
      </c>
      <c r="S222" s="42" t="n">
        <v>5</v>
      </c>
      <c r="T222" s="42" t="n">
        <v>2</v>
      </c>
      <c r="U222" s="43" t="n">
        <v>1</v>
      </c>
      <c r="V222" s="43" t="n">
        <v>1</v>
      </c>
      <c r="W222" s="44" t="n">
        <v>1</v>
      </c>
      <c r="X222" s="44" t="n">
        <v>1</v>
      </c>
      <c r="Y222" s="43" t="n">
        <v>0</v>
      </c>
      <c r="Z222" s="43" t="n">
        <v>0</v>
      </c>
      <c r="AA222" s="44" t="n">
        <v>0</v>
      </c>
      <c r="AB222" s="44" t="n">
        <v>0</v>
      </c>
      <c r="AC222" s="43" t="n">
        <v>0</v>
      </c>
      <c r="AD222" s="43" t="n">
        <v>0</v>
      </c>
      <c r="AE222" s="44" t="n">
        <v>0</v>
      </c>
      <c r="AF222" s="44" t="n">
        <v>0</v>
      </c>
      <c r="AG222" s="43" t="n">
        <v>2</v>
      </c>
      <c r="AH222" s="43" t="n">
        <v>1</v>
      </c>
      <c r="AI222" s="43" t="n">
        <v>0</v>
      </c>
      <c r="AJ222" s="44"/>
      <c r="AK222" s="43" t="n">
        <v>0</v>
      </c>
      <c r="AL222" s="43" t="n">
        <v>6</v>
      </c>
      <c r="AM222" s="45" t="n">
        <v>0.7</v>
      </c>
      <c r="AN222" s="45" t="n">
        <v>0.3</v>
      </c>
      <c r="AO222" s="45" t="n">
        <v>1</v>
      </c>
      <c r="AP222" s="46" t="n">
        <v>1200</v>
      </c>
      <c r="AQ222" s="46" t="n">
        <v>1200</v>
      </c>
    </row>
    <row r="223" customFormat="false" ht="14.25" hidden="false" customHeight="false" outlineLevel="0" collapsed="false">
      <c r="A223" s="33" t="s">
        <v>385</v>
      </c>
      <c r="B223" s="33" t="n">
        <v>46054</v>
      </c>
      <c r="C223" s="34" t="s">
        <v>134</v>
      </c>
      <c r="D223" s="35" t="s">
        <v>186</v>
      </c>
      <c r="E223" s="35" t="s">
        <v>27</v>
      </c>
      <c r="F223" s="36" t="s">
        <v>364</v>
      </c>
      <c r="G223" s="37" t="s">
        <v>346</v>
      </c>
      <c r="H223" s="35" t="s">
        <v>347</v>
      </c>
      <c r="I223" s="35" t="s">
        <v>347</v>
      </c>
      <c r="J223" s="38" t="n">
        <v>22</v>
      </c>
      <c r="K223" s="47" t="n">
        <v>1</v>
      </c>
      <c r="L223" s="47" t="n">
        <v>1</v>
      </c>
      <c r="M223" s="47" t="n">
        <v>1</v>
      </c>
      <c r="N223" s="47" t="n">
        <v>1</v>
      </c>
      <c r="O223" s="40" t="n">
        <v>1</v>
      </c>
      <c r="P223" s="41" t="n">
        <v>1</v>
      </c>
      <c r="Q223" s="42" t="n">
        <v>4</v>
      </c>
      <c r="R223" s="42" t="n">
        <v>1</v>
      </c>
      <c r="S223" s="42" t="n">
        <v>5</v>
      </c>
      <c r="T223" s="42" t="n">
        <v>2</v>
      </c>
      <c r="U223" s="43" t="n">
        <v>0</v>
      </c>
      <c r="V223" s="43" t="n">
        <v>0</v>
      </c>
      <c r="W223" s="44" t="n">
        <v>0</v>
      </c>
      <c r="X223" s="44" t="n">
        <v>0</v>
      </c>
      <c r="Y223" s="43" t="n">
        <v>0</v>
      </c>
      <c r="Z223" s="43" t="n">
        <v>0</v>
      </c>
      <c r="AA223" s="44" t="n">
        <v>0</v>
      </c>
      <c r="AB223" s="44" t="n">
        <v>0</v>
      </c>
      <c r="AC223" s="43" t="n">
        <v>0</v>
      </c>
      <c r="AD223" s="43" t="n">
        <v>0</v>
      </c>
      <c r="AE223" s="44" t="n">
        <v>0</v>
      </c>
      <c r="AF223" s="44" t="n">
        <v>0</v>
      </c>
      <c r="AG223" s="43" t="n">
        <v>0</v>
      </c>
      <c r="AH223" s="43" t="n">
        <v>0</v>
      </c>
      <c r="AI223" s="43" t="n">
        <v>1</v>
      </c>
      <c r="AJ223" s="44"/>
      <c r="AK223" s="43" t="n">
        <v>1</v>
      </c>
      <c r="AL223" s="43" t="n">
        <v>1</v>
      </c>
      <c r="AM223" s="45" t="n">
        <v>0.7</v>
      </c>
      <c r="AN223" s="45" t="n">
        <v>0.3</v>
      </c>
      <c r="AO223" s="45" t="n">
        <v>1</v>
      </c>
      <c r="AP223" s="46" t="n">
        <v>1200</v>
      </c>
      <c r="AQ223" s="46" t="n">
        <v>1200</v>
      </c>
    </row>
    <row r="224" customFormat="false" ht="14.25" hidden="false" customHeight="false" outlineLevel="0" collapsed="false">
      <c r="A224" s="51" t="s">
        <v>386</v>
      </c>
      <c r="B224" s="51" t="n">
        <v>45323</v>
      </c>
      <c r="C224" s="34" t="s">
        <v>108</v>
      </c>
      <c r="D224" s="35" t="s">
        <v>186</v>
      </c>
      <c r="E224" s="35" t="s">
        <v>26</v>
      </c>
      <c r="F224" s="52" t="s">
        <v>354</v>
      </c>
      <c r="G224" s="37" t="s">
        <v>346</v>
      </c>
      <c r="H224" s="35" t="s">
        <v>347</v>
      </c>
      <c r="I224" s="35" t="s">
        <v>347</v>
      </c>
      <c r="J224" s="38" t="n">
        <v>22</v>
      </c>
      <c r="K224" s="47" t="n">
        <v>1</v>
      </c>
      <c r="L224" s="47" t="n">
        <v>1</v>
      </c>
      <c r="M224" s="47" t="n">
        <v>1</v>
      </c>
      <c r="N224" s="47" t="n">
        <v>1</v>
      </c>
      <c r="O224" s="40" t="n">
        <v>1</v>
      </c>
      <c r="P224" s="41" t="n">
        <v>1</v>
      </c>
      <c r="Q224" s="42" t="n">
        <v>6</v>
      </c>
      <c r="R224" s="42" t="n">
        <v>2</v>
      </c>
      <c r="S224" s="42" t="n">
        <v>8</v>
      </c>
      <c r="T224" s="42" t="n">
        <v>3</v>
      </c>
      <c r="U224" s="43" t="n">
        <v>0</v>
      </c>
      <c r="V224" s="43" t="n">
        <v>0</v>
      </c>
      <c r="W224" s="44" t="n">
        <v>0</v>
      </c>
      <c r="X224" s="44" t="n">
        <v>0</v>
      </c>
      <c r="Y224" s="43" t="n">
        <v>0</v>
      </c>
      <c r="Z224" s="43" t="n">
        <v>0</v>
      </c>
      <c r="AA224" s="44" t="n">
        <v>0</v>
      </c>
      <c r="AB224" s="44" t="n">
        <v>0</v>
      </c>
      <c r="AC224" s="43" t="n">
        <v>1</v>
      </c>
      <c r="AD224" s="43" t="n">
        <v>0</v>
      </c>
      <c r="AE224" s="44" t="n">
        <v>1</v>
      </c>
      <c r="AF224" s="44" t="n">
        <v>1</v>
      </c>
      <c r="AG224" s="43" t="n">
        <v>0</v>
      </c>
      <c r="AH224" s="43" t="n">
        <v>1</v>
      </c>
      <c r="AI224" s="43" t="n">
        <v>0</v>
      </c>
      <c r="AJ224" s="44"/>
      <c r="AK224" s="43" t="n">
        <v>0</v>
      </c>
      <c r="AL224" s="43" t="n">
        <v>4</v>
      </c>
      <c r="AM224" s="45" t="n">
        <v>0.7</v>
      </c>
      <c r="AN224" s="45" t="n">
        <v>0.3</v>
      </c>
      <c r="AO224" s="45" t="n">
        <v>1</v>
      </c>
      <c r="AP224" s="46" t="n">
        <v>1200</v>
      </c>
      <c r="AQ224" s="46" t="n">
        <v>1200</v>
      </c>
    </row>
    <row r="225" customFormat="false" ht="14.25" hidden="false" customHeight="false" outlineLevel="0" collapsed="false">
      <c r="A225" s="51" t="s">
        <v>387</v>
      </c>
      <c r="B225" s="51" t="n">
        <v>46069</v>
      </c>
      <c r="C225" s="34" t="s">
        <v>134</v>
      </c>
      <c r="D225" s="35" t="s">
        <v>148</v>
      </c>
      <c r="E225" s="35" t="s">
        <v>25</v>
      </c>
      <c r="F225" s="52" t="s">
        <v>345</v>
      </c>
      <c r="G225" s="37" t="s">
        <v>346</v>
      </c>
      <c r="H225" s="35" t="s">
        <v>347</v>
      </c>
      <c r="I225" s="35" t="s">
        <v>347</v>
      </c>
      <c r="J225" s="38" t="n">
        <v>22</v>
      </c>
      <c r="K225" s="47" t="n">
        <v>1</v>
      </c>
      <c r="L225" s="47" t="n">
        <v>1</v>
      </c>
      <c r="M225" s="47" t="n">
        <v>1</v>
      </c>
      <c r="N225" s="47" t="n">
        <v>1</v>
      </c>
      <c r="O225" s="40" t="n">
        <v>1</v>
      </c>
      <c r="P225" s="41" t="n">
        <v>1</v>
      </c>
      <c r="Q225" s="42" t="n">
        <v>8</v>
      </c>
      <c r="R225" s="42" t="n">
        <v>2</v>
      </c>
      <c r="S225" s="42" t="n">
        <v>10</v>
      </c>
      <c r="T225" s="42" t="n">
        <v>4</v>
      </c>
      <c r="U225" s="43" t="n">
        <v>0</v>
      </c>
      <c r="V225" s="43" t="n">
        <v>0</v>
      </c>
      <c r="W225" s="44" t="n">
        <v>0</v>
      </c>
      <c r="X225" s="44" t="n">
        <v>0</v>
      </c>
      <c r="Y225" s="43" t="n">
        <v>0</v>
      </c>
      <c r="Z225" s="43" t="n">
        <v>0</v>
      </c>
      <c r="AA225" s="44" t="n">
        <v>0</v>
      </c>
      <c r="AB225" s="44" t="n">
        <v>0</v>
      </c>
      <c r="AC225" s="43" t="n">
        <v>0</v>
      </c>
      <c r="AD225" s="43" t="n">
        <v>0</v>
      </c>
      <c r="AE225" s="44" t="n">
        <v>0</v>
      </c>
      <c r="AF225" s="44" t="n">
        <v>0</v>
      </c>
      <c r="AG225" s="43" t="n">
        <v>2</v>
      </c>
      <c r="AH225" s="43" t="n">
        <v>4</v>
      </c>
      <c r="AI225" s="43" t="n">
        <v>1</v>
      </c>
      <c r="AJ225" s="44"/>
      <c r="AK225" s="43" t="n">
        <v>0</v>
      </c>
      <c r="AL225" s="43" t="n">
        <v>2</v>
      </c>
      <c r="AM225" s="45" t="n">
        <v>0.7</v>
      </c>
      <c r="AN225" s="45" t="n">
        <v>0.3</v>
      </c>
      <c r="AO225" s="45" t="n">
        <v>1</v>
      </c>
      <c r="AP225" s="46" t="n">
        <v>1200</v>
      </c>
      <c r="AQ225" s="46" t="n">
        <v>1200</v>
      </c>
    </row>
    <row r="226" customFormat="false" ht="14.25" hidden="false" customHeight="false" outlineLevel="0" collapsed="false">
      <c r="A226" s="51" t="s">
        <v>388</v>
      </c>
      <c r="B226" s="51" t="n">
        <v>44942</v>
      </c>
      <c r="C226" s="34" t="s">
        <v>108</v>
      </c>
      <c r="D226" s="35" t="s">
        <v>186</v>
      </c>
      <c r="E226" s="35" t="s">
        <v>26</v>
      </c>
      <c r="F226" s="52" t="s">
        <v>354</v>
      </c>
      <c r="G226" s="37" t="s">
        <v>346</v>
      </c>
      <c r="H226" s="35" t="s">
        <v>347</v>
      </c>
      <c r="I226" s="35" t="s">
        <v>347</v>
      </c>
      <c r="J226" s="38" t="n">
        <v>11</v>
      </c>
      <c r="K226" s="47" t="n">
        <v>0</v>
      </c>
      <c r="L226" s="47" t="n">
        <v>0</v>
      </c>
      <c r="M226" s="47" t="n">
        <v>1</v>
      </c>
      <c r="N226" s="47" t="n">
        <v>1</v>
      </c>
      <c r="O226" s="40" t="n">
        <v>0.5</v>
      </c>
      <c r="P226" s="41" t="n">
        <v>0.5</v>
      </c>
      <c r="Q226" s="42" t="n">
        <v>3</v>
      </c>
      <c r="R226" s="42" t="n">
        <v>1</v>
      </c>
      <c r="S226" s="42" t="n">
        <v>4</v>
      </c>
      <c r="T226" s="42" t="n">
        <v>2</v>
      </c>
      <c r="U226" s="43" t="n">
        <v>0</v>
      </c>
      <c r="V226" s="43" t="n">
        <v>0</v>
      </c>
      <c r="W226" s="44" t="n">
        <v>0</v>
      </c>
      <c r="X226" s="44" t="n">
        <v>0</v>
      </c>
      <c r="Y226" s="43" t="n">
        <v>0</v>
      </c>
      <c r="Z226" s="43" t="n">
        <v>0</v>
      </c>
      <c r="AA226" s="44" t="n">
        <v>0</v>
      </c>
      <c r="AB226" s="44" t="n">
        <v>0</v>
      </c>
      <c r="AC226" s="43" t="n">
        <v>0</v>
      </c>
      <c r="AD226" s="43" t="n">
        <v>0</v>
      </c>
      <c r="AE226" s="44" t="n">
        <v>0</v>
      </c>
      <c r="AF226" s="44" t="n">
        <v>0</v>
      </c>
      <c r="AG226" s="43" t="n">
        <v>0</v>
      </c>
      <c r="AH226" s="43" t="n">
        <v>0</v>
      </c>
      <c r="AI226" s="43" t="n">
        <v>0</v>
      </c>
      <c r="AJ226" s="44"/>
      <c r="AK226" s="43" t="n">
        <v>0</v>
      </c>
      <c r="AL226" s="43" t="n">
        <v>0</v>
      </c>
      <c r="AM226" s="45" t="n">
        <v>0.7</v>
      </c>
      <c r="AN226" s="45" t="n">
        <v>0.3</v>
      </c>
      <c r="AO226" s="45" t="n">
        <v>0.5</v>
      </c>
      <c r="AP226" s="46" t="n">
        <v>1200</v>
      </c>
      <c r="AQ226" s="46" t="n">
        <v>600</v>
      </c>
    </row>
    <row r="227" customFormat="false" ht="14.25" hidden="false" customHeight="false" outlineLevel="0" collapsed="false">
      <c r="A227" s="51" t="s">
        <v>389</v>
      </c>
      <c r="B227" s="51" t="n">
        <v>46113</v>
      </c>
      <c r="C227" s="34" t="s">
        <v>140</v>
      </c>
      <c r="D227" s="35" t="s">
        <v>186</v>
      </c>
      <c r="E227" s="35" t="s">
        <v>26</v>
      </c>
      <c r="F227" s="52" t="s">
        <v>354</v>
      </c>
      <c r="G227" s="37" t="s">
        <v>346</v>
      </c>
      <c r="H227" s="35" t="s">
        <v>347</v>
      </c>
      <c r="I227" s="35" t="s">
        <v>347</v>
      </c>
      <c r="J227" s="38" t="n">
        <v>22</v>
      </c>
      <c r="K227" s="47" t="n">
        <v>1</v>
      </c>
      <c r="L227" s="47" t="n">
        <v>1</v>
      </c>
      <c r="M227" s="47" t="n">
        <v>1</v>
      </c>
      <c r="N227" s="47" t="n">
        <v>1</v>
      </c>
      <c r="O227" s="40" t="n">
        <v>1</v>
      </c>
      <c r="P227" s="41" t="n">
        <v>1</v>
      </c>
      <c r="Q227" s="42" t="n">
        <v>6</v>
      </c>
      <c r="R227" s="42" t="n">
        <v>2</v>
      </c>
      <c r="S227" s="42" t="n">
        <v>8</v>
      </c>
      <c r="T227" s="42" t="n">
        <v>3</v>
      </c>
      <c r="U227" s="43" t="n">
        <v>1</v>
      </c>
      <c r="V227" s="43" t="n">
        <v>1</v>
      </c>
      <c r="W227" s="44" t="n">
        <v>1</v>
      </c>
      <c r="X227" s="44" t="n">
        <v>1</v>
      </c>
      <c r="Y227" s="43" t="n">
        <v>0</v>
      </c>
      <c r="Z227" s="43" t="n">
        <v>0</v>
      </c>
      <c r="AA227" s="44" t="n">
        <v>0</v>
      </c>
      <c r="AB227" s="44" t="n">
        <v>0</v>
      </c>
      <c r="AC227" s="43" t="n">
        <v>0</v>
      </c>
      <c r="AD227" s="43" t="n">
        <v>0</v>
      </c>
      <c r="AE227" s="44" t="n">
        <v>0</v>
      </c>
      <c r="AF227" s="44" t="n">
        <v>0</v>
      </c>
      <c r="AG227" s="43" t="n">
        <v>0</v>
      </c>
      <c r="AH227" s="43" t="n">
        <v>0</v>
      </c>
      <c r="AI227" s="43" t="n">
        <v>0</v>
      </c>
      <c r="AJ227" s="44"/>
      <c r="AK227" s="43" t="n">
        <v>0</v>
      </c>
      <c r="AL227" s="43" t="n">
        <v>4</v>
      </c>
      <c r="AM227" s="45" t="n">
        <v>0.7</v>
      </c>
      <c r="AN227" s="45" t="n">
        <v>0.3</v>
      </c>
      <c r="AO227" s="45" t="n">
        <v>1</v>
      </c>
      <c r="AP227" s="46" t="n">
        <v>1200</v>
      </c>
      <c r="AQ227" s="46" t="n">
        <v>1200</v>
      </c>
    </row>
    <row r="228" customFormat="false" ht="14.25" hidden="false" customHeight="false" outlineLevel="0" collapsed="false">
      <c r="A228" s="51" t="s">
        <v>390</v>
      </c>
      <c r="B228" s="51" t="n">
        <v>46054</v>
      </c>
      <c r="C228" s="34" t="s">
        <v>134</v>
      </c>
      <c r="D228" s="35" t="s">
        <v>186</v>
      </c>
      <c r="E228" s="35" t="s">
        <v>26</v>
      </c>
      <c r="F228" s="52" t="s">
        <v>354</v>
      </c>
      <c r="G228" s="37" t="s">
        <v>346</v>
      </c>
      <c r="H228" s="35" t="s">
        <v>347</v>
      </c>
      <c r="I228" s="35" t="s">
        <v>347</v>
      </c>
      <c r="J228" s="38" t="n">
        <v>16.5</v>
      </c>
      <c r="K228" s="47" t="n">
        <v>1</v>
      </c>
      <c r="L228" s="47" t="n">
        <v>0</v>
      </c>
      <c r="M228" s="47" t="n">
        <v>1</v>
      </c>
      <c r="N228" s="47" t="n">
        <v>1</v>
      </c>
      <c r="O228" s="40" t="n">
        <v>0.75</v>
      </c>
      <c r="P228" s="41" t="n">
        <v>0.75</v>
      </c>
      <c r="Q228" s="42" t="n">
        <v>5</v>
      </c>
      <c r="R228" s="42" t="n">
        <v>1</v>
      </c>
      <c r="S228" s="42" t="n">
        <v>6</v>
      </c>
      <c r="T228" s="42" t="n">
        <v>3</v>
      </c>
      <c r="U228" s="43" t="n">
        <v>0</v>
      </c>
      <c r="V228" s="43" t="n">
        <v>0</v>
      </c>
      <c r="W228" s="44" t="n">
        <v>0</v>
      </c>
      <c r="X228" s="44" t="n">
        <v>0</v>
      </c>
      <c r="Y228" s="43" t="n">
        <v>1</v>
      </c>
      <c r="Z228" s="43" t="n">
        <v>0</v>
      </c>
      <c r="AA228" s="44" t="n">
        <v>1</v>
      </c>
      <c r="AB228" s="44" t="n">
        <v>1</v>
      </c>
      <c r="AC228" s="43" t="n">
        <v>0</v>
      </c>
      <c r="AD228" s="43" t="n">
        <v>0</v>
      </c>
      <c r="AE228" s="44" t="n">
        <v>0</v>
      </c>
      <c r="AF228" s="44" t="n">
        <v>0</v>
      </c>
      <c r="AG228" s="43" t="n">
        <v>0</v>
      </c>
      <c r="AH228" s="43" t="n">
        <v>0</v>
      </c>
      <c r="AI228" s="43" t="n">
        <v>0</v>
      </c>
      <c r="AJ228" s="44"/>
      <c r="AK228" s="43" t="n">
        <v>0</v>
      </c>
      <c r="AL228" s="43" t="n">
        <v>3</v>
      </c>
      <c r="AM228" s="45" t="n">
        <v>0.7</v>
      </c>
      <c r="AN228" s="45" t="n">
        <v>0.3</v>
      </c>
      <c r="AO228" s="45" t="n">
        <v>0.75</v>
      </c>
      <c r="AP228" s="46" t="n">
        <v>1200</v>
      </c>
      <c r="AQ228" s="46" t="n">
        <v>900</v>
      </c>
    </row>
    <row r="229" customFormat="false" ht="14.25" hidden="false" customHeight="false" outlineLevel="0" collapsed="false">
      <c r="A229" s="51" t="s">
        <v>391</v>
      </c>
      <c r="B229" s="51" t="n">
        <v>45964</v>
      </c>
      <c r="C229" s="34" t="s">
        <v>171</v>
      </c>
      <c r="D229" s="35" t="s">
        <v>186</v>
      </c>
      <c r="E229" s="35" t="s">
        <v>26</v>
      </c>
      <c r="F229" s="52" t="s">
        <v>354</v>
      </c>
      <c r="G229" s="37" t="s">
        <v>346</v>
      </c>
      <c r="H229" s="35" t="s">
        <v>347</v>
      </c>
      <c r="I229" s="35" t="s">
        <v>347</v>
      </c>
      <c r="J229" s="38" t="n">
        <v>22</v>
      </c>
      <c r="K229" s="47" t="n">
        <v>1</v>
      </c>
      <c r="L229" s="47" t="n">
        <v>1</v>
      </c>
      <c r="M229" s="47" t="n">
        <v>1</v>
      </c>
      <c r="N229" s="47" t="n">
        <v>1</v>
      </c>
      <c r="O229" s="40" t="n">
        <v>1</v>
      </c>
      <c r="P229" s="41" t="n">
        <v>1</v>
      </c>
      <c r="Q229" s="42" t="n">
        <v>6</v>
      </c>
      <c r="R229" s="42" t="n">
        <v>2</v>
      </c>
      <c r="S229" s="42" t="n">
        <v>8</v>
      </c>
      <c r="T229" s="42" t="n">
        <v>3</v>
      </c>
      <c r="U229" s="43" t="n">
        <v>1</v>
      </c>
      <c r="V229" s="43" t="n">
        <v>1</v>
      </c>
      <c r="W229" s="44" t="n">
        <v>1</v>
      </c>
      <c r="X229" s="44" t="n">
        <v>1</v>
      </c>
      <c r="Y229" s="43" t="n">
        <v>1</v>
      </c>
      <c r="Z229" s="43" t="n">
        <v>0</v>
      </c>
      <c r="AA229" s="44" t="n">
        <v>1</v>
      </c>
      <c r="AB229" s="44" t="n">
        <v>1</v>
      </c>
      <c r="AC229" s="43" t="n">
        <v>0</v>
      </c>
      <c r="AD229" s="43" t="n">
        <v>0</v>
      </c>
      <c r="AE229" s="44" t="n">
        <v>0</v>
      </c>
      <c r="AF229" s="44" t="n">
        <v>0</v>
      </c>
      <c r="AG229" s="43" t="n">
        <v>0</v>
      </c>
      <c r="AH229" s="43" t="n">
        <v>0</v>
      </c>
      <c r="AI229" s="43" t="n">
        <v>0</v>
      </c>
      <c r="AJ229" s="44"/>
      <c r="AK229" s="43" t="n">
        <v>0</v>
      </c>
      <c r="AL229" s="43" t="n">
        <v>7</v>
      </c>
      <c r="AM229" s="45" t="n">
        <v>0.7</v>
      </c>
      <c r="AN229" s="45" t="n">
        <v>0.3</v>
      </c>
      <c r="AO229" s="45" t="n">
        <v>1</v>
      </c>
      <c r="AP229" s="46" t="n">
        <v>1200</v>
      </c>
      <c r="AQ229" s="46" t="n">
        <v>1200</v>
      </c>
    </row>
    <row r="230" customFormat="false" ht="14.25" hidden="false" customHeight="false" outlineLevel="0" collapsed="false">
      <c r="A230" s="51" t="s">
        <v>392</v>
      </c>
      <c r="B230" s="51" t="n">
        <v>46023</v>
      </c>
      <c r="C230" s="34" t="s">
        <v>173</v>
      </c>
      <c r="D230" s="35" t="s">
        <v>186</v>
      </c>
      <c r="E230" s="35" t="s">
        <v>26</v>
      </c>
      <c r="F230" s="52" t="s">
        <v>354</v>
      </c>
      <c r="G230" s="37" t="s">
        <v>346</v>
      </c>
      <c r="H230" s="35" t="s">
        <v>347</v>
      </c>
      <c r="I230" s="35" t="s">
        <v>347</v>
      </c>
      <c r="J230" s="38" t="n">
        <v>22</v>
      </c>
      <c r="K230" s="47" t="n">
        <v>1</v>
      </c>
      <c r="L230" s="47" t="n">
        <v>1</v>
      </c>
      <c r="M230" s="47" t="n">
        <v>1</v>
      </c>
      <c r="N230" s="47" t="n">
        <v>1</v>
      </c>
      <c r="O230" s="40" t="n">
        <v>1</v>
      </c>
      <c r="P230" s="41" t="n">
        <v>1</v>
      </c>
      <c r="Q230" s="42" t="n">
        <v>6</v>
      </c>
      <c r="R230" s="42" t="n">
        <v>2</v>
      </c>
      <c r="S230" s="42" t="n">
        <v>8</v>
      </c>
      <c r="T230" s="42" t="n">
        <v>2</v>
      </c>
      <c r="U230" s="43" t="n">
        <v>0</v>
      </c>
      <c r="V230" s="43" t="n">
        <v>0</v>
      </c>
      <c r="W230" s="44" t="n">
        <v>0</v>
      </c>
      <c r="X230" s="44" t="n">
        <v>0</v>
      </c>
      <c r="Y230" s="43" t="n">
        <v>0</v>
      </c>
      <c r="Z230" s="43" t="n">
        <v>0</v>
      </c>
      <c r="AA230" s="44" t="n">
        <v>0</v>
      </c>
      <c r="AB230" s="44" t="n">
        <v>0</v>
      </c>
      <c r="AC230" s="43" t="n">
        <v>0</v>
      </c>
      <c r="AD230" s="43" t="n">
        <v>0</v>
      </c>
      <c r="AE230" s="44" t="n">
        <v>0</v>
      </c>
      <c r="AF230" s="44" t="n">
        <v>0</v>
      </c>
      <c r="AG230" s="43" t="n">
        <v>0</v>
      </c>
      <c r="AH230" s="43" t="n">
        <v>0</v>
      </c>
      <c r="AI230" s="43" t="n">
        <v>0</v>
      </c>
      <c r="AJ230" s="44"/>
      <c r="AK230" s="43" t="n">
        <v>0</v>
      </c>
      <c r="AL230" s="43" t="n">
        <v>0</v>
      </c>
      <c r="AM230" s="45" t="n">
        <v>0.7</v>
      </c>
      <c r="AN230" s="45" t="n">
        <v>0.3</v>
      </c>
      <c r="AO230" s="45" t="n">
        <v>1</v>
      </c>
      <c r="AP230" s="46" t="n">
        <v>1200</v>
      </c>
      <c r="AQ230" s="46" t="n">
        <v>1200</v>
      </c>
    </row>
    <row r="231" customFormat="false" ht="14.25" hidden="false" customHeight="false" outlineLevel="0" collapsed="false">
      <c r="A231" s="51" t="s">
        <v>393</v>
      </c>
      <c r="B231" s="51" t="n">
        <v>46113</v>
      </c>
      <c r="C231" s="34" t="s">
        <v>140</v>
      </c>
      <c r="D231" s="35" t="s">
        <v>186</v>
      </c>
      <c r="E231" s="35" t="s">
        <v>26</v>
      </c>
      <c r="F231" s="52" t="s">
        <v>354</v>
      </c>
      <c r="G231" s="37" t="s">
        <v>346</v>
      </c>
      <c r="H231" s="35" t="s">
        <v>347</v>
      </c>
      <c r="I231" s="35" t="s">
        <v>347</v>
      </c>
      <c r="J231" s="38" t="n">
        <v>22</v>
      </c>
      <c r="K231" s="47" t="n">
        <v>1</v>
      </c>
      <c r="L231" s="47" t="n">
        <v>1</v>
      </c>
      <c r="M231" s="47" t="n">
        <v>1</v>
      </c>
      <c r="N231" s="47" t="n">
        <v>1</v>
      </c>
      <c r="O231" s="40" t="n">
        <v>1</v>
      </c>
      <c r="P231" s="41" t="n">
        <v>1</v>
      </c>
      <c r="Q231" s="42" t="n">
        <v>6</v>
      </c>
      <c r="R231" s="42" t="n">
        <v>2</v>
      </c>
      <c r="S231" s="42" t="n">
        <v>8</v>
      </c>
      <c r="T231" s="42" t="n">
        <v>3</v>
      </c>
      <c r="U231" s="43" t="n">
        <v>0</v>
      </c>
      <c r="V231" s="43" t="n">
        <v>0</v>
      </c>
      <c r="W231" s="44" t="n">
        <v>0</v>
      </c>
      <c r="X231" s="44" t="n">
        <v>0</v>
      </c>
      <c r="Y231" s="43" t="n">
        <v>0</v>
      </c>
      <c r="Z231" s="43" t="n">
        <v>0</v>
      </c>
      <c r="AA231" s="44" t="n">
        <v>0</v>
      </c>
      <c r="AB231" s="44" t="n">
        <v>0</v>
      </c>
      <c r="AC231" s="43" t="n">
        <v>0</v>
      </c>
      <c r="AD231" s="43" t="n">
        <v>0</v>
      </c>
      <c r="AE231" s="44" t="n">
        <v>0</v>
      </c>
      <c r="AF231" s="44" t="n">
        <v>0</v>
      </c>
      <c r="AG231" s="43" t="n">
        <v>0</v>
      </c>
      <c r="AH231" s="43" t="n">
        <v>0</v>
      </c>
      <c r="AI231" s="43" t="n">
        <v>0</v>
      </c>
      <c r="AJ231" s="44"/>
      <c r="AK231" s="43" t="n">
        <v>0</v>
      </c>
      <c r="AL231" s="43" t="n">
        <v>0</v>
      </c>
      <c r="AM231" s="45" t="n">
        <v>0.7</v>
      </c>
      <c r="AN231" s="45" t="n">
        <v>0.3</v>
      </c>
      <c r="AO231" s="45" t="n">
        <v>1</v>
      </c>
      <c r="AP231" s="46" t="n">
        <v>1200</v>
      </c>
      <c r="AQ231" s="46" t="n">
        <v>1200</v>
      </c>
    </row>
    <row r="232" customFormat="false" ht="14.25" hidden="false" customHeight="false" outlineLevel="0" collapsed="false">
      <c r="A232" s="51" t="s">
        <v>394</v>
      </c>
      <c r="B232" s="51" t="n">
        <v>46027</v>
      </c>
      <c r="C232" s="34" t="s">
        <v>173</v>
      </c>
      <c r="D232" s="35" t="s">
        <v>186</v>
      </c>
      <c r="E232" s="35" t="s">
        <v>26</v>
      </c>
      <c r="F232" s="52" t="s">
        <v>354</v>
      </c>
      <c r="G232" s="37" t="s">
        <v>346</v>
      </c>
      <c r="H232" s="35" t="s">
        <v>347</v>
      </c>
      <c r="I232" s="35" t="s">
        <v>347</v>
      </c>
      <c r="J232" s="38" t="n">
        <v>22</v>
      </c>
      <c r="K232" s="47" t="n">
        <v>1</v>
      </c>
      <c r="L232" s="47" t="n">
        <v>1</v>
      </c>
      <c r="M232" s="47" t="n">
        <v>1</v>
      </c>
      <c r="N232" s="47" t="n">
        <v>1</v>
      </c>
      <c r="O232" s="40" t="n">
        <v>1</v>
      </c>
      <c r="P232" s="41" t="n">
        <v>1</v>
      </c>
      <c r="Q232" s="42" t="n">
        <v>6</v>
      </c>
      <c r="R232" s="42" t="n">
        <v>2</v>
      </c>
      <c r="S232" s="42" t="n">
        <v>8</v>
      </c>
      <c r="T232" s="42" t="n">
        <v>3</v>
      </c>
      <c r="U232" s="43" t="n">
        <v>0</v>
      </c>
      <c r="V232" s="43" t="n">
        <v>0</v>
      </c>
      <c r="W232" s="44" t="n">
        <v>0</v>
      </c>
      <c r="X232" s="44" t="n">
        <v>0</v>
      </c>
      <c r="Y232" s="43" t="n">
        <v>0</v>
      </c>
      <c r="Z232" s="43" t="n">
        <v>0</v>
      </c>
      <c r="AA232" s="44" t="n">
        <v>0</v>
      </c>
      <c r="AB232" s="44" t="n">
        <v>0</v>
      </c>
      <c r="AC232" s="43" t="n">
        <v>0</v>
      </c>
      <c r="AD232" s="43" t="n">
        <v>0</v>
      </c>
      <c r="AE232" s="44" t="n">
        <v>0</v>
      </c>
      <c r="AF232" s="44" t="n">
        <v>0</v>
      </c>
      <c r="AG232" s="43" t="n">
        <v>1</v>
      </c>
      <c r="AH232" s="43" t="n">
        <v>0</v>
      </c>
      <c r="AI232" s="43" t="n">
        <v>0</v>
      </c>
      <c r="AJ232" s="44"/>
      <c r="AK232" s="43" t="n">
        <v>0</v>
      </c>
      <c r="AL232" s="43" t="n">
        <v>0</v>
      </c>
      <c r="AM232" s="45" t="n">
        <v>0.7</v>
      </c>
      <c r="AN232" s="45" t="n">
        <v>0.3</v>
      </c>
      <c r="AO232" s="45" t="n">
        <v>1</v>
      </c>
      <c r="AP232" s="46" t="n">
        <v>1200</v>
      </c>
      <c r="AQ232" s="46" t="n">
        <v>1200</v>
      </c>
    </row>
    <row r="233" customFormat="false" ht="14.25" hidden="false" customHeight="false" outlineLevel="0" collapsed="false">
      <c r="A233" s="51" t="s">
        <v>395</v>
      </c>
      <c r="B233" s="51" t="n">
        <v>44445</v>
      </c>
      <c r="C233" s="34" t="s">
        <v>108</v>
      </c>
      <c r="D233" s="35" t="s">
        <v>186</v>
      </c>
      <c r="E233" s="35" t="s">
        <v>26</v>
      </c>
      <c r="F233" s="52" t="s">
        <v>354</v>
      </c>
      <c r="G233" s="37" t="s">
        <v>346</v>
      </c>
      <c r="H233" s="35" t="s">
        <v>347</v>
      </c>
      <c r="I233" s="35" t="s">
        <v>347</v>
      </c>
      <c r="J233" s="38" t="n">
        <v>11</v>
      </c>
      <c r="K233" s="47" t="n">
        <v>1</v>
      </c>
      <c r="L233" s="47" t="n">
        <v>1</v>
      </c>
      <c r="M233" s="47" t="n">
        <v>0</v>
      </c>
      <c r="N233" s="47" t="n">
        <v>0</v>
      </c>
      <c r="O233" s="40" t="n">
        <v>0.5</v>
      </c>
      <c r="P233" s="41" t="n">
        <v>0.5</v>
      </c>
      <c r="Q233" s="42" t="n">
        <v>3</v>
      </c>
      <c r="R233" s="42" t="n">
        <v>1</v>
      </c>
      <c r="S233" s="42" t="n">
        <v>4</v>
      </c>
      <c r="T233" s="42" t="n">
        <v>2</v>
      </c>
      <c r="U233" s="43" t="n">
        <v>1</v>
      </c>
      <c r="V233" s="43" t="n">
        <v>1</v>
      </c>
      <c r="W233" s="44" t="n">
        <v>0</v>
      </c>
      <c r="X233" s="44" t="n">
        <v>0</v>
      </c>
      <c r="Y233" s="43" t="n">
        <v>0</v>
      </c>
      <c r="Z233" s="43" t="n">
        <v>0</v>
      </c>
      <c r="AA233" s="44" t="n">
        <v>0</v>
      </c>
      <c r="AB233" s="44" t="n">
        <v>0</v>
      </c>
      <c r="AC233" s="43" t="n">
        <v>0</v>
      </c>
      <c r="AD233" s="43" t="n">
        <v>0</v>
      </c>
      <c r="AE233" s="44" t="n">
        <v>0</v>
      </c>
      <c r="AF233" s="44" t="n">
        <v>0</v>
      </c>
      <c r="AG233" s="43" t="n">
        <v>0</v>
      </c>
      <c r="AH233" s="43" t="n">
        <v>0</v>
      </c>
      <c r="AI233" s="43" t="n">
        <v>0</v>
      </c>
      <c r="AJ233" s="44"/>
      <c r="AK233" s="43" t="n">
        <v>0</v>
      </c>
      <c r="AL233" s="43" t="n">
        <v>2</v>
      </c>
      <c r="AM233" s="45" t="n">
        <v>0.7</v>
      </c>
      <c r="AN233" s="45" t="n">
        <v>0.3</v>
      </c>
      <c r="AO233" s="45" t="n">
        <v>0.5</v>
      </c>
      <c r="AP233" s="46" t="n">
        <v>1200</v>
      </c>
      <c r="AQ233" s="46" t="n">
        <v>600</v>
      </c>
    </row>
    <row r="234" customFormat="false" ht="14.25" hidden="false" customHeight="false" outlineLevel="0" collapsed="false">
      <c r="A234" s="51" t="s">
        <v>396</v>
      </c>
      <c r="B234" s="51" t="n">
        <v>43201</v>
      </c>
      <c r="C234" s="34" t="s">
        <v>108</v>
      </c>
      <c r="D234" s="35" t="s">
        <v>186</v>
      </c>
      <c r="E234" s="35" t="s">
        <v>26</v>
      </c>
      <c r="F234" s="48" t="s">
        <v>354</v>
      </c>
      <c r="G234" s="37" t="s">
        <v>346</v>
      </c>
      <c r="H234" s="35" t="s">
        <v>347</v>
      </c>
      <c r="I234" s="35" t="s">
        <v>347</v>
      </c>
      <c r="J234" s="38" t="n">
        <v>11</v>
      </c>
      <c r="K234" s="47" t="n">
        <v>0</v>
      </c>
      <c r="L234" s="47" t="n">
        <v>0</v>
      </c>
      <c r="M234" s="47" t="n">
        <v>1</v>
      </c>
      <c r="N234" s="47" t="n">
        <v>1</v>
      </c>
      <c r="O234" s="40" t="n">
        <v>0.5</v>
      </c>
      <c r="P234" s="41" t="n">
        <v>0.5</v>
      </c>
      <c r="Q234" s="42" t="n">
        <v>3</v>
      </c>
      <c r="R234" s="42" t="n">
        <v>1</v>
      </c>
      <c r="S234" s="42" t="n">
        <v>4</v>
      </c>
      <c r="T234" s="42" t="n">
        <v>1</v>
      </c>
      <c r="U234" s="43" t="n">
        <v>0</v>
      </c>
      <c r="V234" s="43" t="n">
        <v>0</v>
      </c>
      <c r="W234" s="44" t="n">
        <v>0</v>
      </c>
      <c r="X234" s="44" t="n">
        <v>0</v>
      </c>
      <c r="Y234" s="43" t="n">
        <v>1</v>
      </c>
      <c r="Z234" s="43" t="n">
        <v>0</v>
      </c>
      <c r="AA234" s="44" t="n">
        <v>1</v>
      </c>
      <c r="AB234" s="44" t="n">
        <v>1</v>
      </c>
      <c r="AC234" s="43" t="n">
        <v>0</v>
      </c>
      <c r="AD234" s="43" t="n">
        <v>0</v>
      </c>
      <c r="AE234" s="44" t="n">
        <v>0</v>
      </c>
      <c r="AF234" s="44" t="n">
        <v>0</v>
      </c>
      <c r="AG234" s="43" t="n">
        <v>0</v>
      </c>
      <c r="AH234" s="43" t="n">
        <v>0</v>
      </c>
      <c r="AI234" s="43" t="n">
        <v>0</v>
      </c>
      <c r="AJ234" s="44"/>
      <c r="AK234" s="43" t="n">
        <v>0</v>
      </c>
      <c r="AL234" s="43" t="n">
        <v>3</v>
      </c>
      <c r="AM234" s="45" t="n">
        <v>0.7</v>
      </c>
      <c r="AN234" s="45" t="n">
        <v>0.3</v>
      </c>
      <c r="AO234" s="45" t="n">
        <v>0.5</v>
      </c>
      <c r="AP234" s="46" t="n">
        <v>1200</v>
      </c>
      <c r="AQ234" s="46" t="n">
        <v>600</v>
      </c>
    </row>
    <row r="235" customFormat="false" ht="14.25" hidden="false" customHeight="false" outlineLevel="0" collapsed="false">
      <c r="A235" s="51" t="s">
        <v>397</v>
      </c>
      <c r="B235" s="51" t="n">
        <v>46096</v>
      </c>
      <c r="C235" s="34" t="s">
        <v>219</v>
      </c>
      <c r="D235" s="35" t="s">
        <v>186</v>
      </c>
      <c r="E235" s="35" t="s">
        <v>26</v>
      </c>
      <c r="F235" s="48" t="s">
        <v>354</v>
      </c>
      <c r="G235" s="37" t="s">
        <v>346</v>
      </c>
      <c r="H235" s="35" t="s">
        <v>347</v>
      </c>
      <c r="I235" s="35" t="s">
        <v>347</v>
      </c>
      <c r="J235" s="38" t="n">
        <v>22</v>
      </c>
      <c r="K235" s="47" t="n">
        <v>1</v>
      </c>
      <c r="L235" s="47" t="n">
        <v>1</v>
      </c>
      <c r="M235" s="47" t="n">
        <v>1</v>
      </c>
      <c r="N235" s="47" t="n">
        <v>1</v>
      </c>
      <c r="O235" s="40" t="n">
        <v>1</v>
      </c>
      <c r="P235" s="41" t="n">
        <v>1</v>
      </c>
      <c r="Q235" s="42" t="n">
        <v>6</v>
      </c>
      <c r="R235" s="42" t="n">
        <v>2</v>
      </c>
      <c r="S235" s="42" t="n">
        <v>8</v>
      </c>
      <c r="T235" s="42" t="n">
        <v>3</v>
      </c>
      <c r="U235" s="43" t="n">
        <v>3</v>
      </c>
      <c r="V235" s="43" t="n">
        <v>3</v>
      </c>
      <c r="W235" s="44" t="n">
        <v>4</v>
      </c>
      <c r="X235" s="44" t="n">
        <v>5</v>
      </c>
      <c r="Y235" s="43" t="n">
        <v>0</v>
      </c>
      <c r="Z235" s="43" t="n">
        <v>0</v>
      </c>
      <c r="AA235" s="44" t="n">
        <v>0</v>
      </c>
      <c r="AB235" s="44" t="n">
        <v>0</v>
      </c>
      <c r="AC235" s="43" t="n">
        <v>0</v>
      </c>
      <c r="AD235" s="43" t="n">
        <v>0</v>
      </c>
      <c r="AE235" s="44" t="n">
        <v>0</v>
      </c>
      <c r="AF235" s="44" t="n">
        <v>0</v>
      </c>
      <c r="AG235" s="43" t="n">
        <v>0</v>
      </c>
      <c r="AH235" s="43" t="n">
        <v>0</v>
      </c>
      <c r="AI235" s="43" t="n">
        <v>0</v>
      </c>
      <c r="AJ235" s="44"/>
      <c r="AK235" s="43" t="n">
        <v>0</v>
      </c>
      <c r="AL235" s="43" t="n">
        <v>15</v>
      </c>
      <c r="AM235" s="45" t="n">
        <v>0.7</v>
      </c>
      <c r="AN235" s="45" t="n">
        <v>0.3</v>
      </c>
      <c r="AO235" s="45" t="n">
        <v>1</v>
      </c>
      <c r="AP235" s="46" t="n">
        <v>1200</v>
      </c>
      <c r="AQ235" s="46" t="n">
        <v>1200</v>
      </c>
    </row>
    <row r="236" customFormat="false" ht="14.25" hidden="false" customHeight="false" outlineLevel="0" collapsed="false">
      <c r="A236" s="51" t="s">
        <v>398</v>
      </c>
      <c r="B236" s="51" t="n">
        <v>46113</v>
      </c>
      <c r="C236" s="34" t="s">
        <v>140</v>
      </c>
      <c r="D236" s="35" t="s">
        <v>186</v>
      </c>
      <c r="E236" s="35" t="s">
        <v>26</v>
      </c>
      <c r="F236" s="48" t="s">
        <v>354</v>
      </c>
      <c r="G236" s="37" t="s">
        <v>346</v>
      </c>
      <c r="H236" s="35" t="s">
        <v>347</v>
      </c>
      <c r="I236" s="35" t="s">
        <v>347</v>
      </c>
      <c r="J236" s="38" t="n">
        <v>22</v>
      </c>
      <c r="K236" s="47" t="n">
        <v>1</v>
      </c>
      <c r="L236" s="47" t="n">
        <v>1</v>
      </c>
      <c r="M236" s="47" t="n">
        <v>1</v>
      </c>
      <c r="N236" s="47" t="n">
        <v>1</v>
      </c>
      <c r="O236" s="40" t="n">
        <v>1</v>
      </c>
      <c r="P236" s="41" t="n">
        <v>1</v>
      </c>
      <c r="Q236" s="42" t="n">
        <v>6</v>
      </c>
      <c r="R236" s="42" t="n">
        <v>2</v>
      </c>
      <c r="S236" s="42" t="n">
        <v>8</v>
      </c>
      <c r="T236" s="42" t="n">
        <v>4</v>
      </c>
      <c r="U236" s="43" t="n">
        <v>0</v>
      </c>
      <c r="V236" s="43" t="n">
        <v>0</v>
      </c>
      <c r="W236" s="44" t="n">
        <v>0</v>
      </c>
      <c r="X236" s="44" t="n">
        <v>0</v>
      </c>
      <c r="Y236" s="43" t="n">
        <v>0</v>
      </c>
      <c r="Z236" s="43" t="n">
        <v>0</v>
      </c>
      <c r="AA236" s="44" t="n">
        <v>0</v>
      </c>
      <c r="AB236" s="44" t="n">
        <v>0</v>
      </c>
      <c r="AC236" s="43" t="n">
        <v>0</v>
      </c>
      <c r="AD236" s="43" t="n">
        <v>0</v>
      </c>
      <c r="AE236" s="44" t="n">
        <v>0</v>
      </c>
      <c r="AF236" s="44" t="n">
        <v>0</v>
      </c>
      <c r="AG236" s="43" t="n">
        <v>0</v>
      </c>
      <c r="AH236" s="43" t="n">
        <v>0</v>
      </c>
      <c r="AI236" s="43" t="n">
        <v>0</v>
      </c>
      <c r="AJ236" s="44"/>
      <c r="AK236" s="43" t="n">
        <v>0</v>
      </c>
      <c r="AL236" s="43" t="n">
        <v>0</v>
      </c>
      <c r="AM236" s="45" t="n">
        <v>0.7</v>
      </c>
      <c r="AN236" s="45" t="n">
        <v>0.3</v>
      </c>
      <c r="AO236" s="45" t="n">
        <v>1</v>
      </c>
      <c r="AP236" s="46" t="n">
        <v>1200</v>
      </c>
      <c r="AQ236" s="46" t="n">
        <v>1200</v>
      </c>
    </row>
    <row r="237" customFormat="false" ht="14.25" hidden="false" customHeight="false" outlineLevel="0" collapsed="false">
      <c r="A237" s="33" t="s">
        <v>399</v>
      </c>
      <c r="B237" s="33" t="n">
        <v>46113</v>
      </c>
      <c r="C237" s="34" t="s">
        <v>140</v>
      </c>
      <c r="D237" s="35" t="s">
        <v>186</v>
      </c>
      <c r="E237" s="35" t="s">
        <v>31</v>
      </c>
      <c r="F237" s="36" t="s">
        <v>400</v>
      </c>
      <c r="G237" s="37" t="s">
        <v>214</v>
      </c>
      <c r="H237" s="35" t="s">
        <v>31</v>
      </c>
      <c r="I237" s="35" t="s">
        <v>112</v>
      </c>
      <c r="J237" s="38" t="n">
        <v>22</v>
      </c>
      <c r="K237" s="47" t="n">
        <v>1</v>
      </c>
      <c r="L237" s="47" t="n">
        <v>1</v>
      </c>
      <c r="M237" s="47" t="n">
        <v>1</v>
      </c>
      <c r="N237" s="47" t="n">
        <v>1</v>
      </c>
      <c r="O237" s="40"/>
      <c r="P237" s="41"/>
      <c r="Q237" s="44" t="n">
        <v>5</v>
      </c>
      <c r="R237" s="44"/>
      <c r="S237" s="44" t="n">
        <v>5</v>
      </c>
      <c r="T237" s="44" t="n">
        <v>10</v>
      </c>
      <c r="U237" s="43" t="n">
        <v>1</v>
      </c>
      <c r="V237" s="43" t="n">
        <v>1</v>
      </c>
      <c r="W237" s="44" t="n">
        <v>1</v>
      </c>
      <c r="X237" s="44" t="n">
        <v>1</v>
      </c>
      <c r="Y237" s="43" t="n">
        <v>0</v>
      </c>
      <c r="Z237" s="43" t="n">
        <v>0</v>
      </c>
      <c r="AA237" s="44" t="n">
        <v>0</v>
      </c>
      <c r="AB237" s="44" t="n">
        <v>0</v>
      </c>
      <c r="AC237" s="43" t="n">
        <v>0</v>
      </c>
      <c r="AD237" s="43" t="n">
        <v>0</v>
      </c>
      <c r="AE237" s="44" t="n">
        <v>0</v>
      </c>
      <c r="AF237" s="44" t="n">
        <v>0</v>
      </c>
      <c r="AG237" s="43" t="n">
        <v>0</v>
      </c>
      <c r="AH237" s="43" t="n">
        <v>0</v>
      </c>
      <c r="AI237" s="43" t="n">
        <v>0</v>
      </c>
      <c r="AJ237" s="44"/>
      <c r="AK237" s="43" t="n">
        <v>0</v>
      </c>
      <c r="AL237" s="43" t="n">
        <v>4</v>
      </c>
      <c r="AM237" s="45"/>
      <c r="AN237" s="45"/>
      <c r="AO237" s="45"/>
      <c r="AP237" s="46"/>
      <c r="AQ237" s="46"/>
    </row>
    <row r="238" customFormat="false" ht="14.25" hidden="false" customHeight="false" outlineLevel="0" collapsed="false">
      <c r="A238" s="51" t="s">
        <v>401</v>
      </c>
      <c r="B238" s="51" t="n">
        <v>46113</v>
      </c>
      <c r="C238" s="34" t="s">
        <v>140</v>
      </c>
      <c r="D238" s="35" t="s">
        <v>186</v>
      </c>
      <c r="E238" s="35" t="s">
        <v>31</v>
      </c>
      <c r="F238" s="52" t="s">
        <v>400</v>
      </c>
      <c r="G238" s="54" t="s">
        <v>214</v>
      </c>
      <c r="H238" s="35" t="s">
        <v>31</v>
      </c>
      <c r="I238" s="35" t="s">
        <v>112</v>
      </c>
      <c r="J238" s="40" t="n">
        <v>22</v>
      </c>
      <c r="K238" s="47" t="n">
        <v>1</v>
      </c>
      <c r="L238" s="47" t="n">
        <v>1</v>
      </c>
      <c r="M238" s="47" t="n">
        <v>1</v>
      </c>
      <c r="N238" s="47" t="n">
        <v>1</v>
      </c>
      <c r="O238" s="40"/>
      <c r="P238" s="41"/>
      <c r="Q238" s="44" t="n">
        <v>5</v>
      </c>
      <c r="R238" s="44"/>
      <c r="S238" s="44" t="n">
        <v>5</v>
      </c>
      <c r="T238" s="44" t="n">
        <v>3</v>
      </c>
      <c r="U238" s="43" t="n">
        <v>0</v>
      </c>
      <c r="V238" s="43" t="n">
        <v>0</v>
      </c>
      <c r="W238" s="44" t="n">
        <v>0</v>
      </c>
      <c r="X238" s="44" t="n">
        <v>0</v>
      </c>
      <c r="Y238" s="43" t="n">
        <v>0</v>
      </c>
      <c r="Z238" s="43" t="n">
        <v>0</v>
      </c>
      <c r="AA238" s="44" t="n">
        <v>0</v>
      </c>
      <c r="AB238" s="44" t="n">
        <v>0</v>
      </c>
      <c r="AC238" s="43" t="n">
        <v>0</v>
      </c>
      <c r="AD238" s="43" t="n">
        <v>0</v>
      </c>
      <c r="AE238" s="44" t="n">
        <v>0</v>
      </c>
      <c r="AF238" s="44" t="n">
        <v>0</v>
      </c>
      <c r="AG238" s="43" t="n">
        <v>0</v>
      </c>
      <c r="AH238" s="43" t="n">
        <v>0</v>
      </c>
      <c r="AI238" s="43" t="n">
        <v>0</v>
      </c>
      <c r="AJ238" s="44"/>
      <c r="AK238" s="43" t="n">
        <v>0</v>
      </c>
      <c r="AL238" s="43" t="n">
        <v>0</v>
      </c>
      <c r="AM238" s="45"/>
      <c r="AN238" s="45"/>
      <c r="AO238" s="45"/>
      <c r="AP238" s="46"/>
      <c r="AQ238" s="46"/>
    </row>
    <row r="239" customFormat="false" ht="14.25" hidden="false" customHeight="false" outlineLevel="0" collapsed="false">
      <c r="A239" s="51" t="s">
        <v>402</v>
      </c>
      <c r="B239" s="51" t="n">
        <v>46113</v>
      </c>
      <c r="C239" s="34" t="s">
        <v>140</v>
      </c>
      <c r="D239" s="34" t="s">
        <v>186</v>
      </c>
      <c r="E239" s="34" t="s">
        <v>31</v>
      </c>
      <c r="F239" s="52" t="s">
        <v>400</v>
      </c>
      <c r="G239" s="54" t="s">
        <v>214</v>
      </c>
      <c r="H239" s="34" t="s">
        <v>31</v>
      </c>
      <c r="I239" s="35" t="s">
        <v>112</v>
      </c>
      <c r="J239" s="40" t="n">
        <v>22</v>
      </c>
      <c r="K239" s="47" t="n">
        <v>1</v>
      </c>
      <c r="L239" s="47" t="n">
        <v>1</v>
      </c>
      <c r="M239" s="47" t="n">
        <v>1</v>
      </c>
      <c r="N239" s="47" t="n">
        <v>1</v>
      </c>
      <c r="O239" s="40"/>
      <c r="P239" s="41"/>
      <c r="Q239" s="44" t="n">
        <v>5</v>
      </c>
      <c r="R239" s="44"/>
      <c r="S239" s="44" t="n">
        <v>5</v>
      </c>
      <c r="T239" s="44" t="n">
        <v>15</v>
      </c>
      <c r="U239" s="43" t="n">
        <v>1</v>
      </c>
      <c r="V239" s="43" t="n">
        <v>1</v>
      </c>
      <c r="W239" s="44" t="n">
        <v>1</v>
      </c>
      <c r="X239" s="44" t="n">
        <v>1</v>
      </c>
      <c r="Y239" s="43" t="n">
        <v>0</v>
      </c>
      <c r="Z239" s="43" t="n">
        <v>0</v>
      </c>
      <c r="AA239" s="44" t="n">
        <v>0</v>
      </c>
      <c r="AB239" s="44" t="n">
        <v>0</v>
      </c>
      <c r="AC239" s="43" t="n">
        <v>0</v>
      </c>
      <c r="AD239" s="43" t="n">
        <v>0</v>
      </c>
      <c r="AE239" s="44" t="n">
        <v>0</v>
      </c>
      <c r="AF239" s="44" t="n">
        <v>0</v>
      </c>
      <c r="AG239" s="43" t="n">
        <v>0</v>
      </c>
      <c r="AH239" s="43" t="n">
        <v>0</v>
      </c>
      <c r="AI239" s="43" t="n">
        <v>0</v>
      </c>
      <c r="AJ239" s="44"/>
      <c r="AK239" s="43" t="n">
        <v>0</v>
      </c>
      <c r="AL239" s="43" t="n">
        <v>4</v>
      </c>
      <c r="AM239" s="45"/>
      <c r="AN239" s="45"/>
      <c r="AO239" s="45"/>
      <c r="AP239" s="46"/>
      <c r="AQ239" s="46"/>
    </row>
    <row r="240" customFormat="false" ht="14.25" hidden="false" customHeight="false" outlineLevel="0" collapsed="false">
      <c r="A240" s="51" t="s">
        <v>403</v>
      </c>
      <c r="B240" s="51" t="n">
        <v>46113</v>
      </c>
      <c r="C240" s="34" t="s">
        <v>140</v>
      </c>
      <c r="D240" s="34" t="s">
        <v>186</v>
      </c>
      <c r="E240" s="34" t="s">
        <v>31</v>
      </c>
      <c r="F240" s="52" t="s">
        <v>400</v>
      </c>
      <c r="G240" s="54" t="s">
        <v>214</v>
      </c>
      <c r="H240" s="34" t="s">
        <v>31</v>
      </c>
      <c r="I240" s="35" t="s">
        <v>112</v>
      </c>
      <c r="J240" s="40" t="n">
        <v>22</v>
      </c>
      <c r="K240" s="47" t="n">
        <v>1</v>
      </c>
      <c r="L240" s="47" t="n">
        <v>1</v>
      </c>
      <c r="M240" s="47" t="n">
        <v>1</v>
      </c>
      <c r="N240" s="47" t="n">
        <v>1</v>
      </c>
      <c r="O240" s="40"/>
      <c r="P240" s="41"/>
      <c r="Q240" s="44" t="n">
        <v>5</v>
      </c>
      <c r="R240" s="44"/>
      <c r="S240" s="44" t="n">
        <v>5</v>
      </c>
      <c r="T240" s="44" t="n">
        <v>16</v>
      </c>
      <c r="U240" s="43" t="n">
        <v>1</v>
      </c>
      <c r="V240" s="43" t="n">
        <v>1</v>
      </c>
      <c r="W240" s="44" t="n">
        <v>1</v>
      </c>
      <c r="X240" s="44" t="n">
        <v>1</v>
      </c>
      <c r="Y240" s="43" t="n">
        <v>0</v>
      </c>
      <c r="Z240" s="43" t="n">
        <v>3</v>
      </c>
      <c r="AA240" s="44" t="n">
        <v>2</v>
      </c>
      <c r="AB240" s="44" t="n">
        <v>3</v>
      </c>
      <c r="AC240" s="43" t="n">
        <v>0</v>
      </c>
      <c r="AD240" s="43" t="n">
        <v>0</v>
      </c>
      <c r="AE240" s="44" t="n">
        <v>0</v>
      </c>
      <c r="AF240" s="44" t="n">
        <v>0</v>
      </c>
      <c r="AG240" s="43" t="n">
        <v>0</v>
      </c>
      <c r="AH240" s="43" t="n">
        <v>0</v>
      </c>
      <c r="AI240" s="43" t="n">
        <v>0</v>
      </c>
      <c r="AJ240" s="44"/>
      <c r="AK240" s="43" t="n">
        <v>0</v>
      </c>
      <c r="AL240" s="43" t="n">
        <v>12</v>
      </c>
      <c r="AM240" s="45"/>
      <c r="AN240" s="45"/>
      <c r="AO240" s="45"/>
      <c r="AP240" s="46"/>
      <c r="AQ240" s="46"/>
    </row>
    <row r="241" customFormat="false" ht="14.25" hidden="false" customHeight="false" outlineLevel="0" collapsed="false">
      <c r="A241" s="51" t="s">
        <v>404</v>
      </c>
      <c r="B241" s="51" t="n">
        <v>45078</v>
      </c>
      <c r="C241" s="34" t="s">
        <v>108</v>
      </c>
      <c r="D241" s="35" t="s">
        <v>186</v>
      </c>
      <c r="E241" s="35" t="s">
        <v>31</v>
      </c>
      <c r="F241" s="52" t="s">
        <v>400</v>
      </c>
      <c r="G241" s="54" t="s">
        <v>214</v>
      </c>
      <c r="H241" s="35" t="s">
        <v>31</v>
      </c>
      <c r="I241" s="35" t="s">
        <v>112</v>
      </c>
      <c r="J241" s="40" t="n">
        <v>5.5</v>
      </c>
      <c r="K241" s="47" t="n">
        <v>0</v>
      </c>
      <c r="L241" s="47" t="n">
        <v>0</v>
      </c>
      <c r="M241" s="47" t="n">
        <v>0</v>
      </c>
      <c r="N241" s="47" t="n">
        <v>1</v>
      </c>
      <c r="O241" s="40"/>
      <c r="P241" s="41"/>
      <c r="Q241" s="44" t="n">
        <v>2</v>
      </c>
      <c r="R241" s="44"/>
      <c r="S241" s="44" t="n">
        <v>2</v>
      </c>
      <c r="T241" s="44" t="n">
        <v>6</v>
      </c>
      <c r="U241" s="43" t="n">
        <v>0</v>
      </c>
      <c r="V241" s="43" t="n">
        <v>0</v>
      </c>
      <c r="W241" s="44" t="n">
        <v>0</v>
      </c>
      <c r="X241" s="44" t="n">
        <v>0</v>
      </c>
      <c r="Y241" s="43" t="n">
        <v>0</v>
      </c>
      <c r="Z241" s="43" t="n">
        <v>0</v>
      </c>
      <c r="AA241" s="44" t="n">
        <v>0</v>
      </c>
      <c r="AB241" s="44" t="n">
        <v>0</v>
      </c>
      <c r="AC241" s="43" t="n">
        <v>0</v>
      </c>
      <c r="AD241" s="43" t="n">
        <v>0</v>
      </c>
      <c r="AE241" s="44" t="n">
        <v>0</v>
      </c>
      <c r="AF241" s="44" t="n">
        <v>0</v>
      </c>
      <c r="AG241" s="43" t="n">
        <v>0</v>
      </c>
      <c r="AH241" s="43" t="n">
        <v>0</v>
      </c>
      <c r="AI241" s="43" t="n">
        <v>0</v>
      </c>
      <c r="AJ241" s="44"/>
      <c r="AK241" s="43" t="n">
        <v>0</v>
      </c>
      <c r="AL241" s="43" t="n">
        <v>0</v>
      </c>
      <c r="AM241" s="45"/>
      <c r="AN241" s="45"/>
      <c r="AO241" s="45"/>
      <c r="AP241" s="46"/>
      <c r="AQ241" s="46"/>
    </row>
    <row r="242" customFormat="false" ht="14.25" hidden="false" customHeight="false" outlineLevel="0" collapsed="false">
      <c r="A242" s="51" t="s">
        <v>405</v>
      </c>
      <c r="B242" s="51" t="n">
        <v>46113</v>
      </c>
      <c r="C242" s="34" t="s">
        <v>140</v>
      </c>
      <c r="D242" s="34" t="s">
        <v>186</v>
      </c>
      <c r="E242" s="34" t="s">
        <v>31</v>
      </c>
      <c r="F242" s="52" t="s">
        <v>406</v>
      </c>
      <c r="G242" s="54" t="s">
        <v>214</v>
      </c>
      <c r="H242" s="34" t="s">
        <v>31</v>
      </c>
      <c r="I242" s="35" t="s">
        <v>112</v>
      </c>
      <c r="J242" s="40" t="n">
        <v>22</v>
      </c>
      <c r="K242" s="47" t="n">
        <v>1</v>
      </c>
      <c r="L242" s="47" t="n">
        <v>1</v>
      </c>
      <c r="M242" s="47" t="n">
        <v>1</v>
      </c>
      <c r="N242" s="47" t="n">
        <v>1</v>
      </c>
      <c r="O242" s="40"/>
      <c r="P242" s="41"/>
      <c r="Q242" s="44" t="n">
        <v>5</v>
      </c>
      <c r="R242" s="44"/>
      <c r="S242" s="44" t="n">
        <v>5</v>
      </c>
      <c r="T242" s="44" t="n">
        <v>10</v>
      </c>
      <c r="U242" s="43" t="n">
        <v>2</v>
      </c>
      <c r="V242" s="43" t="n">
        <v>2</v>
      </c>
      <c r="W242" s="44" t="n">
        <v>2</v>
      </c>
      <c r="X242" s="44" t="n">
        <v>3</v>
      </c>
      <c r="Y242" s="43" t="n">
        <v>0</v>
      </c>
      <c r="Z242" s="43" t="n">
        <v>0</v>
      </c>
      <c r="AA242" s="44" t="n">
        <v>0</v>
      </c>
      <c r="AB242" s="44" t="n">
        <v>0</v>
      </c>
      <c r="AC242" s="43" t="n">
        <v>0</v>
      </c>
      <c r="AD242" s="43" t="n">
        <v>0</v>
      </c>
      <c r="AE242" s="44" t="n">
        <v>0</v>
      </c>
      <c r="AF242" s="44" t="n">
        <v>0</v>
      </c>
      <c r="AG242" s="43" t="n">
        <v>0</v>
      </c>
      <c r="AH242" s="43" t="n">
        <v>0</v>
      </c>
      <c r="AI242" s="43" t="n">
        <v>0</v>
      </c>
      <c r="AJ242" s="44"/>
      <c r="AK242" s="43" t="n">
        <v>0</v>
      </c>
      <c r="AL242" s="43" t="n">
        <v>9</v>
      </c>
      <c r="AM242" s="45"/>
      <c r="AN242" s="45"/>
      <c r="AO242" s="45"/>
      <c r="AP242" s="46"/>
      <c r="AQ242" s="46"/>
    </row>
    <row r="243" customFormat="false" ht="14.25" hidden="false" customHeight="false" outlineLevel="0" collapsed="false">
      <c r="A243" s="51" t="s">
        <v>407</v>
      </c>
      <c r="B243" s="51" t="n">
        <v>46113</v>
      </c>
      <c r="C243" s="34" t="s">
        <v>140</v>
      </c>
      <c r="D243" s="35" t="s">
        <v>186</v>
      </c>
      <c r="E243" s="35" t="s">
        <v>31</v>
      </c>
      <c r="F243" s="52" t="s">
        <v>406</v>
      </c>
      <c r="G243" s="54" t="s">
        <v>214</v>
      </c>
      <c r="H243" s="35" t="s">
        <v>31</v>
      </c>
      <c r="I243" s="35" t="s">
        <v>112</v>
      </c>
      <c r="J243" s="40" t="n">
        <v>22</v>
      </c>
      <c r="K243" s="47" t="n">
        <v>1</v>
      </c>
      <c r="L243" s="47" t="n">
        <v>1</v>
      </c>
      <c r="M243" s="47" t="n">
        <v>1</v>
      </c>
      <c r="N243" s="47" t="n">
        <v>1</v>
      </c>
      <c r="O243" s="40"/>
      <c r="P243" s="41"/>
      <c r="Q243" s="44" t="n">
        <v>5</v>
      </c>
      <c r="R243" s="44"/>
      <c r="S243" s="44" t="n">
        <v>5</v>
      </c>
      <c r="T243" s="44" t="n">
        <v>8</v>
      </c>
      <c r="U243" s="43" t="n">
        <v>0</v>
      </c>
      <c r="V243" s="43" t="n">
        <v>0</v>
      </c>
      <c r="W243" s="44" t="n">
        <v>0</v>
      </c>
      <c r="X243" s="44" t="n">
        <v>0</v>
      </c>
      <c r="Y243" s="43" t="n">
        <v>0</v>
      </c>
      <c r="Z243" s="43" t="n">
        <v>0</v>
      </c>
      <c r="AA243" s="44" t="n">
        <v>0</v>
      </c>
      <c r="AB243" s="44" t="n">
        <v>0</v>
      </c>
      <c r="AC243" s="43" t="n">
        <v>0</v>
      </c>
      <c r="AD243" s="43" t="n">
        <v>0</v>
      </c>
      <c r="AE243" s="44" t="n">
        <v>0</v>
      </c>
      <c r="AF243" s="44" t="n">
        <v>0</v>
      </c>
      <c r="AG243" s="43" t="n">
        <v>0</v>
      </c>
      <c r="AH243" s="43" t="n">
        <v>0</v>
      </c>
      <c r="AI243" s="43" t="n">
        <v>0</v>
      </c>
      <c r="AJ243" s="44"/>
      <c r="AK243" s="43" t="n">
        <v>0</v>
      </c>
      <c r="AL243" s="43" t="n">
        <v>0</v>
      </c>
      <c r="AM243" s="45"/>
      <c r="AN243" s="45"/>
      <c r="AO243" s="45"/>
      <c r="AP243" s="46"/>
      <c r="AQ243" s="46"/>
    </row>
    <row r="244" customFormat="false" ht="14.25" hidden="false" customHeight="false" outlineLevel="0" collapsed="false">
      <c r="A244" s="51" t="s">
        <v>408</v>
      </c>
      <c r="B244" s="51" t="n">
        <v>46113</v>
      </c>
      <c r="C244" s="34" t="s">
        <v>140</v>
      </c>
      <c r="D244" s="35" t="s">
        <v>186</v>
      </c>
      <c r="E244" s="35" t="s">
        <v>31</v>
      </c>
      <c r="F244" s="52" t="s">
        <v>406</v>
      </c>
      <c r="G244" s="54" t="s">
        <v>214</v>
      </c>
      <c r="H244" s="35" t="s">
        <v>31</v>
      </c>
      <c r="I244" s="35" t="s">
        <v>112</v>
      </c>
      <c r="J244" s="40" t="n">
        <v>22</v>
      </c>
      <c r="K244" s="47" t="n">
        <v>1</v>
      </c>
      <c r="L244" s="47" t="n">
        <v>1</v>
      </c>
      <c r="M244" s="47" t="n">
        <v>1</v>
      </c>
      <c r="N244" s="47" t="n">
        <v>1</v>
      </c>
      <c r="O244" s="40"/>
      <c r="P244" s="41"/>
      <c r="Q244" s="44" t="n">
        <v>5</v>
      </c>
      <c r="R244" s="44"/>
      <c r="S244" s="44" t="n">
        <v>5</v>
      </c>
      <c r="T244" s="44" t="n">
        <v>8</v>
      </c>
      <c r="U244" s="43" t="n">
        <v>0</v>
      </c>
      <c r="V244" s="43" t="n">
        <v>0</v>
      </c>
      <c r="W244" s="44" t="n">
        <v>0</v>
      </c>
      <c r="X244" s="44" t="n">
        <v>0</v>
      </c>
      <c r="Y244" s="43" t="n">
        <v>0</v>
      </c>
      <c r="Z244" s="43" t="n">
        <v>0</v>
      </c>
      <c r="AA244" s="44" t="n">
        <v>0</v>
      </c>
      <c r="AB244" s="44" t="n">
        <v>0</v>
      </c>
      <c r="AC244" s="43" t="n">
        <v>0</v>
      </c>
      <c r="AD244" s="43" t="n">
        <v>0</v>
      </c>
      <c r="AE244" s="44" t="n">
        <v>0</v>
      </c>
      <c r="AF244" s="44" t="n">
        <v>0</v>
      </c>
      <c r="AG244" s="43" t="n">
        <v>0</v>
      </c>
      <c r="AH244" s="43" t="n">
        <v>0</v>
      </c>
      <c r="AI244" s="43" t="n">
        <v>0</v>
      </c>
      <c r="AJ244" s="44"/>
      <c r="AK244" s="43" t="n">
        <v>0</v>
      </c>
      <c r="AL244" s="43" t="n">
        <v>0</v>
      </c>
      <c r="AM244" s="45"/>
      <c r="AN244" s="45"/>
      <c r="AO244" s="45"/>
      <c r="AP244" s="46"/>
      <c r="AQ244" s="46"/>
    </row>
    <row r="245" customFormat="false" ht="14.25" hidden="false" customHeight="false" outlineLevel="0" collapsed="false">
      <c r="A245" s="51" t="s">
        <v>409</v>
      </c>
      <c r="B245" s="51" t="n">
        <v>46113</v>
      </c>
      <c r="C245" s="34" t="s">
        <v>140</v>
      </c>
      <c r="D245" s="35" t="s">
        <v>186</v>
      </c>
      <c r="E245" s="35" t="s">
        <v>31</v>
      </c>
      <c r="F245" s="52" t="s">
        <v>406</v>
      </c>
      <c r="G245" s="54" t="s">
        <v>214</v>
      </c>
      <c r="H245" s="35" t="s">
        <v>31</v>
      </c>
      <c r="I245" s="35" t="s">
        <v>112</v>
      </c>
      <c r="J245" s="40" t="n">
        <v>22</v>
      </c>
      <c r="K245" s="47" t="n">
        <v>1</v>
      </c>
      <c r="L245" s="47" t="n">
        <v>1</v>
      </c>
      <c r="M245" s="47" t="n">
        <v>1</v>
      </c>
      <c r="N245" s="47" t="n">
        <v>1</v>
      </c>
      <c r="O245" s="40"/>
      <c r="P245" s="41"/>
      <c r="Q245" s="44" t="n">
        <v>5</v>
      </c>
      <c r="R245" s="44"/>
      <c r="S245" s="44" t="n">
        <v>5</v>
      </c>
      <c r="T245" s="44" t="n">
        <v>8</v>
      </c>
      <c r="U245" s="43" t="n">
        <v>1</v>
      </c>
      <c r="V245" s="43" t="n">
        <v>1</v>
      </c>
      <c r="W245" s="44" t="n">
        <v>1</v>
      </c>
      <c r="X245" s="44" t="n">
        <v>1</v>
      </c>
      <c r="Y245" s="43" t="n">
        <v>0</v>
      </c>
      <c r="Z245" s="43" t="n">
        <v>0</v>
      </c>
      <c r="AA245" s="44" t="n">
        <v>0</v>
      </c>
      <c r="AB245" s="44" t="n">
        <v>0</v>
      </c>
      <c r="AC245" s="43" t="n">
        <v>0</v>
      </c>
      <c r="AD245" s="43" t="n">
        <v>0</v>
      </c>
      <c r="AE245" s="44" t="n">
        <v>0</v>
      </c>
      <c r="AF245" s="44" t="n">
        <v>0</v>
      </c>
      <c r="AG245" s="43" t="n">
        <v>0</v>
      </c>
      <c r="AH245" s="43" t="n">
        <v>0</v>
      </c>
      <c r="AI245" s="43" t="n">
        <v>0</v>
      </c>
      <c r="AJ245" s="44"/>
      <c r="AK245" s="43" t="n">
        <v>0</v>
      </c>
      <c r="AL245" s="43" t="n">
        <v>4</v>
      </c>
      <c r="AM245" s="45"/>
      <c r="AN245" s="45"/>
      <c r="AO245" s="45"/>
      <c r="AP245" s="46"/>
      <c r="AQ245" s="46"/>
    </row>
    <row r="246" customFormat="false" ht="14.25" hidden="false" customHeight="false" outlineLevel="0" collapsed="false">
      <c r="A246" s="51" t="s">
        <v>410</v>
      </c>
      <c r="B246" s="51" t="n">
        <v>44867</v>
      </c>
      <c r="C246" s="34" t="s">
        <v>108</v>
      </c>
      <c r="D246" s="35" t="s">
        <v>148</v>
      </c>
      <c r="E246" s="35" t="s">
        <v>31</v>
      </c>
      <c r="F246" s="52" t="s">
        <v>411</v>
      </c>
      <c r="G246" s="54" t="s">
        <v>214</v>
      </c>
      <c r="H246" s="35" t="s">
        <v>31</v>
      </c>
      <c r="I246" s="35" t="s">
        <v>112</v>
      </c>
      <c r="J246" s="40" t="n">
        <v>22</v>
      </c>
      <c r="K246" s="47" t="n">
        <v>1</v>
      </c>
      <c r="L246" s="47" t="n">
        <v>1</v>
      </c>
      <c r="M246" s="47" t="n">
        <v>1</v>
      </c>
      <c r="N246" s="47" t="n">
        <v>1</v>
      </c>
      <c r="O246" s="40"/>
      <c r="P246" s="41"/>
      <c r="Q246" s="44" t="n">
        <v>8</v>
      </c>
      <c r="R246" s="44"/>
      <c r="S246" s="44" t="n">
        <v>8</v>
      </c>
      <c r="T246" s="44" t="n">
        <v>4</v>
      </c>
      <c r="U246" s="43" t="n">
        <v>0</v>
      </c>
      <c r="V246" s="43" t="n">
        <v>0</v>
      </c>
      <c r="W246" s="44" t="n">
        <v>0</v>
      </c>
      <c r="X246" s="44" t="n">
        <v>0</v>
      </c>
      <c r="Y246" s="43" t="n">
        <v>0</v>
      </c>
      <c r="Z246" s="43" t="n">
        <v>0</v>
      </c>
      <c r="AA246" s="44" t="n">
        <v>0</v>
      </c>
      <c r="AB246" s="44" t="n">
        <v>0</v>
      </c>
      <c r="AC246" s="43" t="n">
        <v>0</v>
      </c>
      <c r="AD246" s="43" t="n">
        <v>0</v>
      </c>
      <c r="AE246" s="44" t="n">
        <v>0</v>
      </c>
      <c r="AF246" s="44" t="n">
        <v>0</v>
      </c>
      <c r="AG246" s="43" t="n">
        <v>0</v>
      </c>
      <c r="AH246" s="43" t="n">
        <v>1</v>
      </c>
      <c r="AI246" s="43" t="n">
        <v>0</v>
      </c>
      <c r="AJ246" s="44"/>
      <c r="AK246" s="43" t="n">
        <v>0</v>
      </c>
      <c r="AL246" s="43" t="n">
        <v>1</v>
      </c>
      <c r="AM246" s="45"/>
      <c r="AN246" s="45"/>
      <c r="AO246" s="45"/>
      <c r="AP246" s="46"/>
      <c r="AQ246" s="46"/>
    </row>
    <row r="247" customFormat="false" ht="14.25" hidden="false" customHeight="false" outlineLevel="0" collapsed="false">
      <c r="A247" s="51" t="s">
        <v>412</v>
      </c>
      <c r="B247" s="51" t="n">
        <v>44746</v>
      </c>
      <c r="C247" s="34" t="s">
        <v>108</v>
      </c>
      <c r="D247" s="35" t="s">
        <v>148</v>
      </c>
      <c r="E247" s="35" t="s">
        <v>31</v>
      </c>
      <c r="F247" s="52" t="s">
        <v>411</v>
      </c>
      <c r="G247" s="54" t="s">
        <v>214</v>
      </c>
      <c r="H247" s="35" t="s">
        <v>31</v>
      </c>
      <c r="I247" s="35" t="s">
        <v>112</v>
      </c>
      <c r="J247" s="40" t="n">
        <v>22</v>
      </c>
      <c r="K247" s="47" t="n">
        <v>1</v>
      </c>
      <c r="L247" s="47" t="n">
        <v>1</v>
      </c>
      <c r="M247" s="47" t="n">
        <v>1</v>
      </c>
      <c r="N247" s="47" t="n">
        <v>1</v>
      </c>
      <c r="O247" s="40"/>
      <c r="P247" s="41"/>
      <c r="Q247" s="44" t="n">
        <v>8</v>
      </c>
      <c r="R247" s="44"/>
      <c r="S247" s="44" t="n">
        <v>8</v>
      </c>
      <c r="T247" s="44" t="n">
        <v>4</v>
      </c>
      <c r="U247" s="43" t="n">
        <v>2</v>
      </c>
      <c r="V247" s="43" t="n">
        <v>2</v>
      </c>
      <c r="W247" s="44" t="n">
        <v>2</v>
      </c>
      <c r="X247" s="44" t="n">
        <v>3</v>
      </c>
      <c r="Y247" s="43" t="n">
        <v>0</v>
      </c>
      <c r="Z247" s="43" t="n">
        <v>1</v>
      </c>
      <c r="AA247" s="44" t="n">
        <v>1</v>
      </c>
      <c r="AB247" s="44" t="n">
        <v>1</v>
      </c>
      <c r="AC247" s="43" t="n">
        <v>0</v>
      </c>
      <c r="AD247" s="43" t="n">
        <v>0</v>
      </c>
      <c r="AE247" s="44" t="n">
        <v>0</v>
      </c>
      <c r="AF247" s="44" t="n">
        <v>0</v>
      </c>
      <c r="AG247" s="43" t="n">
        <v>0</v>
      </c>
      <c r="AH247" s="43" t="n">
        <v>0</v>
      </c>
      <c r="AI247" s="43" t="n">
        <v>0</v>
      </c>
      <c r="AJ247" s="44"/>
      <c r="AK247" s="43" t="n">
        <v>0</v>
      </c>
      <c r="AL247" s="43" t="n">
        <v>12</v>
      </c>
      <c r="AM247" s="45"/>
      <c r="AN247" s="45"/>
      <c r="AO247" s="45"/>
      <c r="AP247" s="46"/>
      <c r="AQ247" s="46"/>
    </row>
    <row r="248" customFormat="false" ht="14.25" hidden="false" customHeight="false" outlineLevel="0" collapsed="false">
      <c r="A248" s="51" t="s">
        <v>413</v>
      </c>
      <c r="B248" s="51" t="n">
        <v>45019</v>
      </c>
      <c r="C248" s="34" t="s">
        <v>108</v>
      </c>
      <c r="D248" s="35" t="s">
        <v>148</v>
      </c>
      <c r="E248" s="35" t="s">
        <v>31</v>
      </c>
      <c r="F248" s="52" t="s">
        <v>411</v>
      </c>
      <c r="G248" s="54" t="s">
        <v>214</v>
      </c>
      <c r="H248" s="35" t="s">
        <v>31</v>
      </c>
      <c r="I248" s="35" t="s">
        <v>112</v>
      </c>
      <c r="J248" s="40" t="n">
        <v>11</v>
      </c>
      <c r="K248" s="47" t="n">
        <v>1</v>
      </c>
      <c r="L248" s="47" t="n">
        <v>1</v>
      </c>
      <c r="M248" s="47" t="n">
        <v>0</v>
      </c>
      <c r="N248" s="47" t="n">
        <v>0</v>
      </c>
      <c r="O248" s="40"/>
      <c r="P248" s="41"/>
      <c r="Q248" s="44" t="n">
        <v>4</v>
      </c>
      <c r="R248" s="44"/>
      <c r="S248" s="44" t="n">
        <v>4</v>
      </c>
      <c r="T248" s="44" t="n">
        <v>2</v>
      </c>
      <c r="U248" s="43" t="n">
        <v>1</v>
      </c>
      <c r="V248" s="43" t="n">
        <v>1</v>
      </c>
      <c r="W248" s="44" t="n">
        <v>0</v>
      </c>
      <c r="X248" s="44" t="n">
        <v>0</v>
      </c>
      <c r="Y248" s="43" t="n">
        <v>0</v>
      </c>
      <c r="Z248" s="43" t="n">
        <v>0</v>
      </c>
      <c r="AA248" s="44" t="n">
        <v>0</v>
      </c>
      <c r="AB248" s="44" t="n">
        <v>0</v>
      </c>
      <c r="AC248" s="43" t="n">
        <v>0</v>
      </c>
      <c r="AD248" s="43" t="n">
        <v>0</v>
      </c>
      <c r="AE248" s="44" t="n">
        <v>0</v>
      </c>
      <c r="AF248" s="44" t="n">
        <v>0</v>
      </c>
      <c r="AG248" s="43" t="n">
        <v>0</v>
      </c>
      <c r="AH248" s="43" t="n">
        <v>1</v>
      </c>
      <c r="AI248" s="43" t="n">
        <v>0</v>
      </c>
      <c r="AJ248" s="44"/>
      <c r="AK248" s="43" t="n">
        <v>0</v>
      </c>
      <c r="AL248" s="43" t="n">
        <v>2</v>
      </c>
      <c r="AM248" s="45"/>
      <c r="AN248" s="45"/>
      <c r="AO248" s="45"/>
      <c r="AP248" s="46"/>
      <c r="AQ248" s="46"/>
    </row>
    <row r="249" customFormat="false" ht="14.25" hidden="false" customHeight="false" outlineLevel="0" collapsed="false">
      <c r="A249" s="51" t="s">
        <v>414</v>
      </c>
      <c r="B249" s="51" t="n">
        <v>45931</v>
      </c>
      <c r="C249" s="34" t="s">
        <v>299</v>
      </c>
      <c r="D249" s="34" t="s">
        <v>148</v>
      </c>
      <c r="E249" s="34" t="s">
        <v>31</v>
      </c>
      <c r="F249" s="52" t="s">
        <v>411</v>
      </c>
      <c r="G249" s="54" t="s">
        <v>214</v>
      </c>
      <c r="H249" s="34" t="s">
        <v>31</v>
      </c>
      <c r="I249" s="35" t="s">
        <v>112</v>
      </c>
      <c r="J249" s="40" t="n">
        <v>22</v>
      </c>
      <c r="K249" s="47" t="n">
        <v>1</v>
      </c>
      <c r="L249" s="47" t="n">
        <v>1</v>
      </c>
      <c r="M249" s="47" t="n">
        <v>1</v>
      </c>
      <c r="N249" s="47" t="n">
        <v>1</v>
      </c>
      <c r="O249" s="40"/>
      <c r="P249" s="41"/>
      <c r="Q249" s="44" t="n">
        <v>8</v>
      </c>
      <c r="R249" s="44"/>
      <c r="S249" s="44" t="n">
        <v>8</v>
      </c>
      <c r="T249" s="44" t="n">
        <v>4</v>
      </c>
      <c r="U249" s="43" t="n">
        <v>1</v>
      </c>
      <c r="V249" s="43" t="n">
        <v>1</v>
      </c>
      <c r="W249" s="44" t="n">
        <v>1</v>
      </c>
      <c r="X249" s="44" t="n">
        <v>1</v>
      </c>
      <c r="Y249" s="43" t="n">
        <v>0</v>
      </c>
      <c r="Z249" s="43" t="n">
        <v>0</v>
      </c>
      <c r="AA249" s="44" t="n">
        <v>0</v>
      </c>
      <c r="AB249" s="44" t="n">
        <v>0</v>
      </c>
      <c r="AC249" s="43" t="n">
        <v>0</v>
      </c>
      <c r="AD249" s="43" t="n">
        <v>0</v>
      </c>
      <c r="AE249" s="44" t="n">
        <v>0</v>
      </c>
      <c r="AF249" s="44" t="n">
        <v>0</v>
      </c>
      <c r="AG249" s="43" t="n">
        <v>0</v>
      </c>
      <c r="AH249" s="43" t="n">
        <v>1</v>
      </c>
      <c r="AI249" s="43" t="n">
        <v>0</v>
      </c>
      <c r="AJ249" s="44"/>
      <c r="AK249" s="43" t="n">
        <v>0</v>
      </c>
      <c r="AL249" s="43" t="n">
        <v>4</v>
      </c>
      <c r="AM249" s="45"/>
      <c r="AN249" s="45"/>
      <c r="AO249" s="45"/>
      <c r="AP249" s="46"/>
      <c r="AQ249" s="46"/>
    </row>
    <row r="250" customFormat="false" ht="14.25" hidden="false" customHeight="false" outlineLevel="0" collapsed="false">
      <c r="A250" s="51" t="s">
        <v>415</v>
      </c>
      <c r="B250" s="51" t="n">
        <v>45505</v>
      </c>
      <c r="C250" s="34" t="s">
        <v>108</v>
      </c>
      <c r="D250" s="35" t="s">
        <v>148</v>
      </c>
      <c r="E250" s="35" t="s">
        <v>31</v>
      </c>
      <c r="F250" s="52" t="s">
        <v>411</v>
      </c>
      <c r="G250" s="54" t="s">
        <v>214</v>
      </c>
      <c r="H250" s="35" t="s">
        <v>31</v>
      </c>
      <c r="I250" s="35" t="s">
        <v>112</v>
      </c>
      <c r="J250" s="40" t="n">
        <v>11</v>
      </c>
      <c r="K250" s="47" t="n">
        <v>1</v>
      </c>
      <c r="L250" s="47" t="n">
        <v>0</v>
      </c>
      <c r="M250" s="47" t="n">
        <v>0</v>
      </c>
      <c r="N250" s="47" t="n">
        <v>1</v>
      </c>
      <c r="O250" s="40"/>
      <c r="P250" s="41"/>
      <c r="Q250" s="44" t="n">
        <v>4</v>
      </c>
      <c r="R250" s="44"/>
      <c r="S250" s="44" t="n">
        <v>4</v>
      </c>
      <c r="T250" s="44" t="n">
        <v>2</v>
      </c>
      <c r="U250" s="43" t="n">
        <v>1</v>
      </c>
      <c r="V250" s="43" t="n">
        <v>1</v>
      </c>
      <c r="W250" s="44" t="n">
        <v>0</v>
      </c>
      <c r="X250" s="44" t="n">
        <v>1</v>
      </c>
      <c r="Y250" s="43" t="n">
        <v>0</v>
      </c>
      <c r="Z250" s="43" t="n">
        <v>0</v>
      </c>
      <c r="AA250" s="44" t="n">
        <v>0</v>
      </c>
      <c r="AB250" s="44" t="n">
        <v>0</v>
      </c>
      <c r="AC250" s="43" t="n">
        <v>0</v>
      </c>
      <c r="AD250" s="43" t="n">
        <v>0</v>
      </c>
      <c r="AE250" s="44" t="n">
        <v>0</v>
      </c>
      <c r="AF250" s="44" t="n">
        <v>0</v>
      </c>
      <c r="AG250" s="43" t="n">
        <v>0</v>
      </c>
      <c r="AH250" s="43" t="n">
        <v>1</v>
      </c>
      <c r="AI250" s="43" t="n">
        <v>0</v>
      </c>
      <c r="AJ250" s="44"/>
      <c r="AK250" s="43" t="n">
        <v>0</v>
      </c>
      <c r="AL250" s="43" t="n">
        <v>3</v>
      </c>
      <c r="AM250" s="45"/>
      <c r="AN250" s="45"/>
      <c r="AO250" s="45"/>
      <c r="AP250" s="46"/>
      <c r="AQ250" s="46"/>
    </row>
    <row r="251" customFormat="false" ht="14.25" hidden="false" customHeight="false" outlineLevel="0" collapsed="false">
      <c r="A251" s="51" t="s">
        <v>416</v>
      </c>
      <c r="B251" s="51" t="n">
        <v>46027</v>
      </c>
      <c r="C251" s="34" t="s">
        <v>173</v>
      </c>
      <c r="D251" s="35" t="s">
        <v>148</v>
      </c>
      <c r="E251" s="35" t="s">
        <v>31</v>
      </c>
      <c r="F251" s="52" t="s">
        <v>411</v>
      </c>
      <c r="G251" s="54" t="s">
        <v>214</v>
      </c>
      <c r="H251" s="35" t="s">
        <v>31</v>
      </c>
      <c r="I251" s="35" t="s">
        <v>112</v>
      </c>
      <c r="J251" s="40" t="n">
        <v>22</v>
      </c>
      <c r="K251" s="47" t="n">
        <v>1</v>
      </c>
      <c r="L251" s="47" t="n">
        <v>1</v>
      </c>
      <c r="M251" s="47" t="n">
        <v>1</v>
      </c>
      <c r="N251" s="47" t="n">
        <v>1</v>
      </c>
      <c r="O251" s="40"/>
      <c r="P251" s="41"/>
      <c r="Q251" s="44" t="n">
        <v>8</v>
      </c>
      <c r="R251" s="44"/>
      <c r="S251" s="44" t="n">
        <v>8</v>
      </c>
      <c r="T251" s="44" t="n">
        <v>5</v>
      </c>
      <c r="U251" s="43" t="n">
        <v>0</v>
      </c>
      <c r="V251" s="43" t="n">
        <v>0</v>
      </c>
      <c r="W251" s="44" t="n">
        <v>0</v>
      </c>
      <c r="X251" s="44" t="n">
        <v>0</v>
      </c>
      <c r="Y251" s="43" t="n">
        <v>0</v>
      </c>
      <c r="Z251" s="43" t="n">
        <v>3</v>
      </c>
      <c r="AA251" s="44" t="n">
        <v>2</v>
      </c>
      <c r="AB251" s="44" t="n">
        <v>3</v>
      </c>
      <c r="AC251" s="43" t="n">
        <v>0</v>
      </c>
      <c r="AD251" s="43" t="n">
        <v>0</v>
      </c>
      <c r="AE251" s="44" t="n">
        <v>0</v>
      </c>
      <c r="AF251" s="44" t="n">
        <v>0</v>
      </c>
      <c r="AG251" s="43" t="n">
        <v>1</v>
      </c>
      <c r="AH251" s="43" t="n">
        <v>0</v>
      </c>
      <c r="AI251" s="43" t="n">
        <v>0</v>
      </c>
      <c r="AJ251" s="44"/>
      <c r="AK251" s="43" t="n">
        <v>0</v>
      </c>
      <c r="AL251" s="43" t="n">
        <v>8</v>
      </c>
      <c r="AM251" s="45"/>
      <c r="AN251" s="45"/>
      <c r="AO251" s="45"/>
      <c r="AP251" s="46"/>
      <c r="AQ251" s="46"/>
    </row>
    <row r="252" customFormat="false" ht="14.25" hidden="false" customHeight="false" outlineLevel="0" collapsed="false">
      <c r="A252" s="51" t="s">
        <v>417</v>
      </c>
      <c r="B252" s="51" t="n">
        <v>44502</v>
      </c>
      <c r="C252" s="34" t="s">
        <v>108</v>
      </c>
      <c r="D252" s="35" t="s">
        <v>148</v>
      </c>
      <c r="E252" s="35" t="s">
        <v>31</v>
      </c>
      <c r="F252" s="52" t="s">
        <v>411</v>
      </c>
      <c r="G252" s="54" t="s">
        <v>214</v>
      </c>
      <c r="H252" s="35" t="s">
        <v>31</v>
      </c>
      <c r="I252" s="35" t="s">
        <v>112</v>
      </c>
      <c r="J252" s="40" t="n">
        <v>22</v>
      </c>
      <c r="K252" s="47" t="n">
        <v>1</v>
      </c>
      <c r="L252" s="47" t="n">
        <v>1</v>
      </c>
      <c r="M252" s="47" t="n">
        <v>1</v>
      </c>
      <c r="N252" s="47" t="n">
        <v>1</v>
      </c>
      <c r="O252" s="40"/>
      <c r="P252" s="41"/>
      <c r="Q252" s="44" t="n">
        <v>8</v>
      </c>
      <c r="R252" s="44"/>
      <c r="S252" s="44" t="n">
        <v>8</v>
      </c>
      <c r="T252" s="44" t="n">
        <v>4</v>
      </c>
      <c r="U252" s="43" t="n">
        <v>1</v>
      </c>
      <c r="V252" s="43" t="n">
        <v>1</v>
      </c>
      <c r="W252" s="44" t="n">
        <v>1</v>
      </c>
      <c r="X252" s="44" t="n">
        <v>1</v>
      </c>
      <c r="Y252" s="43" t="n">
        <v>0</v>
      </c>
      <c r="Z252" s="43" t="n">
        <v>0</v>
      </c>
      <c r="AA252" s="44" t="n">
        <v>0</v>
      </c>
      <c r="AB252" s="44" t="n">
        <v>0</v>
      </c>
      <c r="AC252" s="43" t="n">
        <v>0</v>
      </c>
      <c r="AD252" s="43" t="n">
        <v>0</v>
      </c>
      <c r="AE252" s="44" t="n">
        <v>0</v>
      </c>
      <c r="AF252" s="44" t="n">
        <v>0</v>
      </c>
      <c r="AG252" s="43" t="n">
        <v>0</v>
      </c>
      <c r="AH252" s="43" t="n">
        <v>0</v>
      </c>
      <c r="AI252" s="43" t="n">
        <v>0</v>
      </c>
      <c r="AJ252" s="44"/>
      <c r="AK252" s="43" t="n">
        <v>0</v>
      </c>
      <c r="AL252" s="43" t="n">
        <v>4</v>
      </c>
      <c r="AM252" s="45"/>
      <c r="AN252" s="45"/>
      <c r="AO252" s="45"/>
      <c r="AP252" s="46"/>
      <c r="AQ252" s="46"/>
    </row>
    <row r="253" customFormat="false" ht="14.25" hidden="false" customHeight="false" outlineLevel="0" collapsed="false">
      <c r="A253" s="51" t="s">
        <v>418</v>
      </c>
      <c r="B253" s="51" t="n">
        <v>43682</v>
      </c>
      <c r="C253" s="34" t="s">
        <v>108</v>
      </c>
      <c r="D253" s="35" t="s">
        <v>148</v>
      </c>
      <c r="E253" s="35" t="s">
        <v>31</v>
      </c>
      <c r="F253" s="48" t="s">
        <v>411</v>
      </c>
      <c r="G253" s="52" t="s">
        <v>214</v>
      </c>
      <c r="H253" s="35" t="s">
        <v>31</v>
      </c>
      <c r="I253" s="35" t="s">
        <v>112</v>
      </c>
      <c r="J253" s="40" t="n">
        <v>22</v>
      </c>
      <c r="K253" s="47" t="n">
        <v>1</v>
      </c>
      <c r="L253" s="47" t="n">
        <v>1</v>
      </c>
      <c r="M253" s="47" t="n">
        <v>1</v>
      </c>
      <c r="N253" s="47" t="n">
        <v>1</v>
      </c>
      <c r="O253" s="40"/>
      <c r="P253" s="41"/>
      <c r="Q253" s="44" t="n">
        <v>8</v>
      </c>
      <c r="R253" s="44"/>
      <c r="S253" s="44" t="n">
        <v>8</v>
      </c>
      <c r="T253" s="44" t="n">
        <v>5</v>
      </c>
      <c r="U253" s="43" t="n">
        <v>0</v>
      </c>
      <c r="V253" s="43" t="n">
        <v>0</v>
      </c>
      <c r="W253" s="44" t="n">
        <v>0</v>
      </c>
      <c r="X253" s="44" t="n">
        <v>0</v>
      </c>
      <c r="Y253" s="43" t="n">
        <v>1</v>
      </c>
      <c r="Z253" s="43" t="n">
        <v>0</v>
      </c>
      <c r="AA253" s="44" t="n">
        <v>1</v>
      </c>
      <c r="AB253" s="44" t="n">
        <v>1</v>
      </c>
      <c r="AC253" s="43" t="n">
        <v>0</v>
      </c>
      <c r="AD253" s="43" t="n">
        <v>0</v>
      </c>
      <c r="AE253" s="44" t="n">
        <v>0</v>
      </c>
      <c r="AF253" s="44" t="n">
        <v>0</v>
      </c>
      <c r="AG253" s="43" t="n">
        <v>0</v>
      </c>
      <c r="AH253" s="43" t="n">
        <v>0</v>
      </c>
      <c r="AI253" s="43" t="n">
        <v>0</v>
      </c>
      <c r="AJ253" s="44"/>
      <c r="AK253" s="43" t="n">
        <v>0</v>
      </c>
      <c r="AL253" s="43" t="n">
        <v>3</v>
      </c>
      <c r="AM253" s="45"/>
      <c r="AN253" s="45"/>
      <c r="AO253" s="45"/>
      <c r="AP253" s="46"/>
      <c r="AQ253" s="46"/>
    </row>
    <row r="254" customFormat="false" ht="14.25" hidden="false" customHeight="false" outlineLevel="0" collapsed="false">
      <c r="A254" s="51" t="s">
        <v>419</v>
      </c>
      <c r="B254" s="51" t="n">
        <v>45033</v>
      </c>
      <c r="C254" s="34" t="s">
        <v>108</v>
      </c>
      <c r="D254" s="35" t="s">
        <v>148</v>
      </c>
      <c r="E254" s="35" t="s">
        <v>31</v>
      </c>
      <c r="F254" s="48" t="s">
        <v>411</v>
      </c>
      <c r="G254" s="52" t="s">
        <v>214</v>
      </c>
      <c r="H254" s="35" t="s">
        <v>31</v>
      </c>
      <c r="I254" s="35" t="s">
        <v>112</v>
      </c>
      <c r="J254" s="40" t="n">
        <v>22</v>
      </c>
      <c r="K254" s="47" t="n">
        <v>1</v>
      </c>
      <c r="L254" s="47" t="n">
        <v>1</v>
      </c>
      <c r="M254" s="47" t="n">
        <v>1</v>
      </c>
      <c r="N254" s="47" t="n">
        <v>1</v>
      </c>
      <c r="O254" s="40"/>
      <c r="P254" s="41"/>
      <c r="Q254" s="44" t="n">
        <v>8</v>
      </c>
      <c r="R254" s="44"/>
      <c r="S254" s="44" t="n">
        <v>8</v>
      </c>
      <c r="T254" s="44" t="n">
        <v>4</v>
      </c>
      <c r="U254" s="43" t="n">
        <v>0</v>
      </c>
      <c r="V254" s="43" t="n">
        <v>0</v>
      </c>
      <c r="W254" s="44" t="n">
        <v>0</v>
      </c>
      <c r="X254" s="44" t="n">
        <v>0</v>
      </c>
      <c r="Y254" s="43" t="n">
        <v>0</v>
      </c>
      <c r="Z254" s="43" t="n">
        <v>2</v>
      </c>
      <c r="AA254" s="44" t="n">
        <v>1</v>
      </c>
      <c r="AB254" s="44" t="n">
        <v>2</v>
      </c>
      <c r="AC254" s="43" t="n">
        <v>0</v>
      </c>
      <c r="AD254" s="43" t="n">
        <v>0</v>
      </c>
      <c r="AE254" s="44" t="n">
        <v>0</v>
      </c>
      <c r="AF254" s="44" t="n">
        <v>0</v>
      </c>
      <c r="AG254" s="43" t="n">
        <v>2</v>
      </c>
      <c r="AH254" s="43" t="n">
        <v>0</v>
      </c>
      <c r="AI254" s="43" t="n">
        <v>0</v>
      </c>
      <c r="AJ254" s="44"/>
      <c r="AK254" s="43" t="n">
        <v>0</v>
      </c>
      <c r="AL254" s="43" t="n">
        <v>6</v>
      </c>
      <c r="AM254" s="45"/>
      <c r="AN254" s="45"/>
      <c r="AO254" s="45"/>
      <c r="AP254" s="46"/>
      <c r="AQ254" s="46"/>
    </row>
    <row r="255" customFormat="false" ht="14.25" hidden="false" customHeight="false" outlineLevel="0" collapsed="false">
      <c r="A255" s="51" t="s">
        <v>420</v>
      </c>
      <c r="B255" s="51" t="n">
        <v>46113</v>
      </c>
      <c r="C255" s="34" t="s">
        <v>140</v>
      </c>
      <c r="D255" s="34" t="s">
        <v>148</v>
      </c>
      <c r="E255" s="34" t="s">
        <v>31</v>
      </c>
      <c r="F255" s="48" t="s">
        <v>411</v>
      </c>
      <c r="G255" s="52" t="s">
        <v>214</v>
      </c>
      <c r="H255" s="34" t="s">
        <v>31</v>
      </c>
      <c r="I255" s="35" t="s">
        <v>112</v>
      </c>
      <c r="J255" s="40" t="n">
        <v>22</v>
      </c>
      <c r="K255" s="47" t="n">
        <v>1</v>
      </c>
      <c r="L255" s="47" t="n">
        <v>1</v>
      </c>
      <c r="M255" s="47" t="n">
        <v>1</v>
      </c>
      <c r="N255" s="47" t="n">
        <v>1</v>
      </c>
      <c r="O255" s="40"/>
      <c r="P255" s="41"/>
      <c r="Q255" s="44" t="n">
        <v>8</v>
      </c>
      <c r="R255" s="44"/>
      <c r="S255" s="44" t="n">
        <v>8</v>
      </c>
      <c r="T255" s="44" t="n">
        <v>11</v>
      </c>
      <c r="U255" s="43" t="n">
        <v>2</v>
      </c>
      <c r="V255" s="43" t="n">
        <v>2</v>
      </c>
      <c r="W255" s="44" t="n">
        <v>2</v>
      </c>
      <c r="X255" s="44" t="n">
        <v>3</v>
      </c>
      <c r="Y255" s="43" t="n">
        <v>0</v>
      </c>
      <c r="Z255" s="43" t="n">
        <v>0</v>
      </c>
      <c r="AA255" s="44" t="n">
        <v>0</v>
      </c>
      <c r="AB255" s="44" t="n">
        <v>0</v>
      </c>
      <c r="AC255" s="43" t="n">
        <v>0</v>
      </c>
      <c r="AD255" s="43" t="n">
        <v>0</v>
      </c>
      <c r="AE255" s="44" t="n">
        <v>0</v>
      </c>
      <c r="AF255" s="44" t="n">
        <v>0</v>
      </c>
      <c r="AG255" s="43" t="n">
        <v>0</v>
      </c>
      <c r="AH255" s="43" t="n">
        <v>0</v>
      </c>
      <c r="AI255" s="43" t="n">
        <v>0</v>
      </c>
      <c r="AJ255" s="44"/>
      <c r="AK255" s="43" t="n">
        <v>0</v>
      </c>
      <c r="AL255" s="43" t="n">
        <v>9</v>
      </c>
      <c r="AM255" s="45"/>
      <c r="AN255" s="45"/>
      <c r="AO255" s="45"/>
      <c r="AP255" s="46"/>
      <c r="AQ255" s="46"/>
    </row>
    <row r="256" customFormat="false" ht="14.25" hidden="false" customHeight="false" outlineLevel="0" collapsed="false">
      <c r="A256" s="51" t="s">
        <v>421</v>
      </c>
      <c r="B256" s="51" t="n">
        <v>46113</v>
      </c>
      <c r="C256" s="34" t="s">
        <v>140</v>
      </c>
      <c r="D256" s="35" t="s">
        <v>148</v>
      </c>
      <c r="E256" s="35" t="s">
        <v>31</v>
      </c>
      <c r="F256" s="48" t="s">
        <v>411</v>
      </c>
      <c r="G256" s="37" t="s">
        <v>214</v>
      </c>
      <c r="H256" s="35" t="s">
        <v>31</v>
      </c>
      <c r="I256" s="35" t="s">
        <v>112</v>
      </c>
      <c r="J256" s="40" t="n">
        <v>22</v>
      </c>
      <c r="K256" s="47" t="n">
        <v>1</v>
      </c>
      <c r="L256" s="47" t="n">
        <v>1</v>
      </c>
      <c r="M256" s="47" t="n">
        <v>1</v>
      </c>
      <c r="N256" s="47" t="n">
        <v>1</v>
      </c>
      <c r="O256" s="40"/>
      <c r="P256" s="41"/>
      <c r="Q256" s="44" t="n">
        <v>8</v>
      </c>
      <c r="R256" s="44"/>
      <c r="S256" s="44" t="n">
        <v>8</v>
      </c>
      <c r="T256" s="44" t="n">
        <v>19</v>
      </c>
      <c r="U256" s="43" t="n">
        <v>1</v>
      </c>
      <c r="V256" s="43" t="n">
        <v>1</v>
      </c>
      <c r="W256" s="44" t="n">
        <v>1</v>
      </c>
      <c r="X256" s="44" t="n">
        <v>1</v>
      </c>
      <c r="Y256" s="43" t="n">
        <v>0</v>
      </c>
      <c r="Z256" s="43" t="n">
        <v>1</v>
      </c>
      <c r="AA256" s="44" t="n">
        <v>1</v>
      </c>
      <c r="AB256" s="44" t="n">
        <v>1</v>
      </c>
      <c r="AC256" s="43" t="n">
        <v>0</v>
      </c>
      <c r="AD256" s="43" t="n">
        <v>0</v>
      </c>
      <c r="AE256" s="44" t="n">
        <v>0</v>
      </c>
      <c r="AF256" s="44" t="n">
        <v>0</v>
      </c>
      <c r="AG256" s="43" t="n">
        <v>0</v>
      </c>
      <c r="AH256" s="43" t="n">
        <v>0</v>
      </c>
      <c r="AI256" s="43" t="n">
        <v>0</v>
      </c>
      <c r="AJ256" s="44"/>
      <c r="AK256" s="43" t="n">
        <v>0</v>
      </c>
      <c r="AL256" s="43" t="n">
        <v>7</v>
      </c>
      <c r="AM256" s="45"/>
      <c r="AN256" s="45"/>
      <c r="AO256" s="45"/>
      <c r="AP256" s="46"/>
      <c r="AQ256" s="46"/>
    </row>
    <row r="257" customFormat="false" ht="14.25" hidden="false" customHeight="false" outlineLevel="0" collapsed="false">
      <c r="A257" s="51" t="s">
        <v>422</v>
      </c>
      <c r="B257" s="51" t="n">
        <v>45033</v>
      </c>
      <c r="C257" s="34" t="s">
        <v>108</v>
      </c>
      <c r="D257" s="35" t="s">
        <v>148</v>
      </c>
      <c r="E257" s="35" t="s">
        <v>31</v>
      </c>
      <c r="F257" s="48" t="s">
        <v>411</v>
      </c>
      <c r="G257" s="37" t="s">
        <v>214</v>
      </c>
      <c r="H257" s="35" t="s">
        <v>31</v>
      </c>
      <c r="I257" s="35" t="s">
        <v>112</v>
      </c>
      <c r="J257" s="55" t="n">
        <v>20</v>
      </c>
      <c r="K257" s="47" t="n">
        <v>0.636363636363636</v>
      </c>
      <c r="L257" s="47" t="n">
        <v>1</v>
      </c>
      <c r="M257" s="47" t="n">
        <v>1</v>
      </c>
      <c r="N257" s="47" t="n">
        <v>1</v>
      </c>
      <c r="O257" s="40"/>
      <c r="P257" s="41"/>
      <c r="Q257" s="44" t="n">
        <v>7</v>
      </c>
      <c r="R257" s="44"/>
      <c r="S257" s="44" t="n">
        <v>7</v>
      </c>
      <c r="T257" s="44" t="n">
        <v>18</v>
      </c>
      <c r="U257" s="43" t="n">
        <v>0</v>
      </c>
      <c r="V257" s="43" t="n">
        <v>0</v>
      </c>
      <c r="W257" s="44" t="n">
        <v>0</v>
      </c>
      <c r="X257" s="44" t="n">
        <v>0</v>
      </c>
      <c r="Y257" s="43" t="n">
        <v>0</v>
      </c>
      <c r="Z257" s="43" t="n">
        <v>0</v>
      </c>
      <c r="AA257" s="44" t="n">
        <v>0</v>
      </c>
      <c r="AB257" s="44" t="n">
        <v>0</v>
      </c>
      <c r="AC257" s="43" t="n">
        <v>0</v>
      </c>
      <c r="AD257" s="43" t="n">
        <v>0</v>
      </c>
      <c r="AE257" s="44" t="n">
        <v>0</v>
      </c>
      <c r="AF257" s="44" t="n">
        <v>0</v>
      </c>
      <c r="AG257" s="43" t="n">
        <v>0</v>
      </c>
      <c r="AH257" s="43" t="n">
        <v>0</v>
      </c>
      <c r="AI257" s="43" t="n">
        <v>0</v>
      </c>
      <c r="AJ257" s="44"/>
      <c r="AK257" s="43" t="n">
        <v>0</v>
      </c>
      <c r="AL257" s="43" t="n">
        <v>0</v>
      </c>
      <c r="AM257" s="45"/>
      <c r="AN257" s="45"/>
      <c r="AO257" s="45"/>
      <c r="AP257" s="46"/>
      <c r="AQ257" s="46"/>
    </row>
    <row r="258" customFormat="false" ht="14.25" hidden="false" customHeight="false" outlineLevel="0" collapsed="false">
      <c r="A258" s="51" t="s">
        <v>423</v>
      </c>
      <c r="B258" s="51" t="n">
        <v>44662</v>
      </c>
      <c r="C258" s="34" t="s">
        <v>108</v>
      </c>
      <c r="D258" s="35" t="s">
        <v>148</v>
      </c>
      <c r="E258" s="35" t="s">
        <v>31</v>
      </c>
      <c r="F258" s="48" t="s">
        <v>411</v>
      </c>
      <c r="G258" s="37" t="s">
        <v>214</v>
      </c>
      <c r="H258" s="35" t="s">
        <v>31</v>
      </c>
      <c r="I258" s="35" t="s">
        <v>112</v>
      </c>
      <c r="J258" s="55" t="n">
        <v>22</v>
      </c>
      <c r="K258" s="47" t="n">
        <v>1</v>
      </c>
      <c r="L258" s="47" t="n">
        <v>1</v>
      </c>
      <c r="M258" s="47" t="n">
        <v>1</v>
      </c>
      <c r="N258" s="47" t="n">
        <v>1</v>
      </c>
      <c r="O258" s="40"/>
      <c r="P258" s="41"/>
      <c r="Q258" s="44" t="n">
        <v>8</v>
      </c>
      <c r="R258" s="44"/>
      <c r="S258" s="44" t="n">
        <v>8</v>
      </c>
      <c r="T258" s="44" t="n">
        <v>5</v>
      </c>
      <c r="U258" s="43" t="n">
        <v>1</v>
      </c>
      <c r="V258" s="43" t="n">
        <v>1</v>
      </c>
      <c r="W258" s="44" t="n">
        <v>1</v>
      </c>
      <c r="X258" s="44" t="n">
        <v>1</v>
      </c>
      <c r="Y258" s="43" t="n">
        <v>0</v>
      </c>
      <c r="Z258" s="43" t="n">
        <v>0</v>
      </c>
      <c r="AA258" s="44" t="n">
        <v>0</v>
      </c>
      <c r="AB258" s="44" t="n">
        <v>0</v>
      </c>
      <c r="AC258" s="43" t="n">
        <v>0</v>
      </c>
      <c r="AD258" s="43" t="n">
        <v>0</v>
      </c>
      <c r="AE258" s="44" t="n">
        <v>0</v>
      </c>
      <c r="AF258" s="44" t="n">
        <v>0</v>
      </c>
      <c r="AG258" s="43" t="n">
        <v>0</v>
      </c>
      <c r="AH258" s="43" t="n">
        <v>3</v>
      </c>
      <c r="AI258" s="43" t="n">
        <v>0</v>
      </c>
      <c r="AJ258" s="44"/>
      <c r="AK258" s="43" t="n">
        <v>0</v>
      </c>
      <c r="AL258" s="43" t="n">
        <v>6</v>
      </c>
      <c r="AM258" s="45"/>
      <c r="AN258" s="45"/>
      <c r="AO258" s="45"/>
      <c r="AP258" s="46"/>
      <c r="AQ258" s="46"/>
    </row>
    <row r="259" customFormat="false" ht="14.25" hidden="false" customHeight="false" outlineLevel="0" collapsed="false">
      <c r="A259" s="51" t="s">
        <v>424</v>
      </c>
      <c r="B259" s="51" t="n">
        <v>46113</v>
      </c>
      <c r="C259" s="34" t="s">
        <v>140</v>
      </c>
      <c r="D259" s="35" t="s">
        <v>148</v>
      </c>
      <c r="E259" s="35" t="s">
        <v>31</v>
      </c>
      <c r="F259" s="48" t="s">
        <v>411</v>
      </c>
      <c r="G259" s="37" t="s">
        <v>214</v>
      </c>
      <c r="H259" s="35" t="s">
        <v>31</v>
      </c>
      <c r="I259" s="35" t="s">
        <v>112</v>
      </c>
      <c r="J259" s="55" t="n">
        <v>22</v>
      </c>
      <c r="K259" s="47" t="n">
        <v>1</v>
      </c>
      <c r="L259" s="47" t="n">
        <v>1</v>
      </c>
      <c r="M259" s="47" t="n">
        <v>1</v>
      </c>
      <c r="N259" s="47" t="n">
        <v>1</v>
      </c>
      <c r="O259" s="40"/>
      <c r="P259" s="41"/>
      <c r="Q259" s="44" t="n">
        <v>8</v>
      </c>
      <c r="R259" s="44"/>
      <c r="S259" s="44" t="n">
        <v>8</v>
      </c>
      <c r="T259" s="44" t="n">
        <v>21</v>
      </c>
      <c r="U259" s="43" t="n">
        <v>0</v>
      </c>
      <c r="V259" s="43" t="n">
        <v>0</v>
      </c>
      <c r="W259" s="44" t="n">
        <v>0</v>
      </c>
      <c r="X259" s="44" t="n">
        <v>0</v>
      </c>
      <c r="Y259" s="43" t="n">
        <v>1</v>
      </c>
      <c r="Z259" s="43" t="n">
        <v>0</v>
      </c>
      <c r="AA259" s="44" t="n">
        <v>1</v>
      </c>
      <c r="AB259" s="44" t="n">
        <v>1</v>
      </c>
      <c r="AC259" s="43" t="n">
        <v>0</v>
      </c>
      <c r="AD259" s="43" t="n">
        <v>0</v>
      </c>
      <c r="AE259" s="44" t="n">
        <v>0</v>
      </c>
      <c r="AF259" s="44" t="n">
        <v>0</v>
      </c>
      <c r="AG259" s="43" t="n">
        <v>0</v>
      </c>
      <c r="AH259" s="43" t="n">
        <v>0</v>
      </c>
      <c r="AI259" s="43" t="n">
        <v>0</v>
      </c>
      <c r="AJ259" s="44"/>
      <c r="AK259" s="43" t="n">
        <v>0</v>
      </c>
      <c r="AL259" s="43" t="n">
        <v>3</v>
      </c>
      <c r="AM259" s="45"/>
      <c r="AN259" s="45"/>
      <c r="AO259" s="45"/>
      <c r="AP259" s="46"/>
      <c r="AQ259" s="46"/>
    </row>
    <row r="260" customFormat="false" ht="14.25" hidden="false" customHeight="false" outlineLevel="0" collapsed="false">
      <c r="A260" s="51" t="s">
        <v>425</v>
      </c>
      <c r="B260" s="51" t="n">
        <v>46189</v>
      </c>
      <c r="C260" s="34" t="s">
        <v>199</v>
      </c>
      <c r="D260" s="35" t="s">
        <v>186</v>
      </c>
      <c r="E260" s="35" t="s">
        <v>31</v>
      </c>
      <c r="F260" s="48" t="s">
        <v>400</v>
      </c>
      <c r="G260" s="37" t="s">
        <v>214</v>
      </c>
      <c r="H260" s="35" t="s">
        <v>31</v>
      </c>
      <c r="I260" s="35" t="s">
        <v>112</v>
      </c>
      <c r="J260" s="55" t="n">
        <v>22</v>
      </c>
      <c r="K260" s="47" t="n">
        <v>1</v>
      </c>
      <c r="L260" s="47" t="n">
        <v>1</v>
      </c>
      <c r="M260" s="47" t="n">
        <v>1</v>
      </c>
      <c r="N260" s="47" t="n">
        <v>1</v>
      </c>
      <c r="O260" s="40"/>
      <c r="P260" s="41"/>
      <c r="Q260" s="44" t="n">
        <v>3</v>
      </c>
      <c r="R260" s="44"/>
      <c r="S260" s="44" t="n">
        <v>3</v>
      </c>
      <c r="T260" s="44" t="n">
        <v>9</v>
      </c>
      <c r="U260" s="43" t="n">
        <v>0</v>
      </c>
      <c r="V260" s="43" t="n">
        <v>0</v>
      </c>
      <c r="W260" s="44" t="n">
        <v>0</v>
      </c>
      <c r="X260" s="44" t="n">
        <v>0</v>
      </c>
      <c r="Y260" s="43" t="n">
        <v>2</v>
      </c>
      <c r="Z260" s="43" t="n">
        <v>0</v>
      </c>
      <c r="AA260" s="44" t="n">
        <v>1</v>
      </c>
      <c r="AB260" s="44" t="n">
        <v>1</v>
      </c>
      <c r="AC260" s="43" t="n">
        <v>0</v>
      </c>
      <c r="AD260" s="43" t="n">
        <v>0</v>
      </c>
      <c r="AE260" s="44" t="n">
        <v>0</v>
      </c>
      <c r="AF260" s="44" t="n">
        <v>0</v>
      </c>
      <c r="AG260" s="43" t="n">
        <v>0</v>
      </c>
      <c r="AH260" s="43" t="n">
        <v>0</v>
      </c>
      <c r="AI260" s="43" t="n">
        <v>0</v>
      </c>
      <c r="AJ260" s="44"/>
      <c r="AK260" s="43" t="n">
        <v>0</v>
      </c>
      <c r="AL260" s="43" t="n">
        <v>4</v>
      </c>
      <c r="AM260" s="45"/>
      <c r="AN260" s="45"/>
      <c r="AO260" s="45"/>
      <c r="AP260" s="46"/>
      <c r="AQ260" s="46"/>
    </row>
    <row r="261" customFormat="false" ht="14.25" hidden="false" customHeight="false" outlineLevel="0" collapsed="false">
      <c r="A261" s="51" t="s">
        <v>426</v>
      </c>
      <c r="B261" s="51" t="n">
        <v>46235</v>
      </c>
      <c r="C261" s="34" t="s">
        <v>176</v>
      </c>
      <c r="D261" s="35" t="s">
        <v>186</v>
      </c>
      <c r="E261" s="35" t="s">
        <v>31</v>
      </c>
      <c r="F261" s="48" t="s">
        <v>400</v>
      </c>
      <c r="G261" s="37" t="s">
        <v>214</v>
      </c>
      <c r="H261" s="35" t="s">
        <v>31</v>
      </c>
      <c r="I261" s="35" t="s">
        <v>112</v>
      </c>
      <c r="J261" s="55" t="n">
        <v>22</v>
      </c>
      <c r="K261" s="47" t="n">
        <v>1</v>
      </c>
      <c r="L261" s="47" t="n">
        <v>1</v>
      </c>
      <c r="M261" s="47" t="n">
        <v>1</v>
      </c>
      <c r="N261" s="47" t="n">
        <v>1</v>
      </c>
      <c r="O261" s="40"/>
      <c r="P261" s="41"/>
      <c r="Q261" s="44" t="n">
        <v>3</v>
      </c>
      <c r="R261" s="44"/>
      <c r="S261" s="44" t="n">
        <v>3</v>
      </c>
      <c r="T261" s="44" t="n">
        <v>2</v>
      </c>
      <c r="U261" s="43" t="n">
        <v>0</v>
      </c>
      <c r="V261" s="43" t="n">
        <v>0</v>
      </c>
      <c r="W261" s="44" t="n">
        <v>0</v>
      </c>
      <c r="X261" s="44" t="n">
        <v>0</v>
      </c>
      <c r="Y261" s="43" t="n">
        <v>0</v>
      </c>
      <c r="Z261" s="43" t="n">
        <v>0</v>
      </c>
      <c r="AA261" s="44" t="n">
        <v>0</v>
      </c>
      <c r="AB261" s="44" t="n">
        <v>0</v>
      </c>
      <c r="AC261" s="43" t="n">
        <v>0</v>
      </c>
      <c r="AD261" s="43" t="n">
        <v>0</v>
      </c>
      <c r="AE261" s="44" t="n">
        <v>0</v>
      </c>
      <c r="AF261" s="44" t="n">
        <v>0</v>
      </c>
      <c r="AG261" s="43" t="n">
        <v>0</v>
      </c>
      <c r="AH261" s="43" t="n">
        <v>0</v>
      </c>
      <c r="AI261" s="43" t="n">
        <v>0</v>
      </c>
      <c r="AJ261" s="44"/>
      <c r="AK261" s="43" t="n">
        <v>0</v>
      </c>
      <c r="AL261" s="43" t="n">
        <v>0</v>
      </c>
      <c r="AM261" s="45"/>
      <c r="AN261" s="45"/>
      <c r="AO261" s="45"/>
      <c r="AP261" s="46"/>
      <c r="AQ261" s="46"/>
    </row>
    <row r="262" customFormat="false" ht="14.25" hidden="false" customHeight="false" outlineLevel="0" collapsed="false">
      <c r="A262" s="51" t="s">
        <v>427</v>
      </c>
      <c r="B262" s="51" t="n">
        <v>46235</v>
      </c>
      <c r="C262" s="34" t="s">
        <v>176</v>
      </c>
      <c r="D262" s="35" t="s">
        <v>186</v>
      </c>
      <c r="E262" s="35" t="s">
        <v>31</v>
      </c>
      <c r="F262" s="48" t="s">
        <v>406</v>
      </c>
      <c r="G262" s="37" t="s">
        <v>214</v>
      </c>
      <c r="H262" s="35" t="s">
        <v>31</v>
      </c>
      <c r="I262" s="35" t="s">
        <v>112</v>
      </c>
      <c r="J262" s="55" t="n">
        <v>22</v>
      </c>
      <c r="K262" s="47" t="n">
        <v>1</v>
      </c>
      <c r="L262" s="47" t="n">
        <v>1</v>
      </c>
      <c r="M262" s="47" t="n">
        <v>1</v>
      </c>
      <c r="N262" s="47" t="n">
        <v>1</v>
      </c>
      <c r="O262" s="40"/>
      <c r="P262" s="41"/>
      <c r="Q262" s="44" t="n">
        <v>3</v>
      </c>
      <c r="R262" s="44"/>
      <c r="S262" s="44" t="n">
        <v>3</v>
      </c>
      <c r="T262" s="44" t="n">
        <v>2</v>
      </c>
      <c r="U262" s="43" t="n">
        <v>0</v>
      </c>
      <c r="V262" s="43" t="n">
        <v>0</v>
      </c>
      <c r="W262" s="44" t="n">
        <v>0</v>
      </c>
      <c r="X262" s="44" t="n">
        <v>0</v>
      </c>
      <c r="Y262" s="43" t="n">
        <v>0</v>
      </c>
      <c r="Z262" s="43" t="n">
        <v>0</v>
      </c>
      <c r="AA262" s="44" t="n">
        <v>0</v>
      </c>
      <c r="AB262" s="44" t="n">
        <v>0</v>
      </c>
      <c r="AC262" s="43" t="n">
        <v>0</v>
      </c>
      <c r="AD262" s="43" t="n">
        <v>0</v>
      </c>
      <c r="AE262" s="44" t="n">
        <v>0</v>
      </c>
      <c r="AF262" s="44" t="n">
        <v>0</v>
      </c>
      <c r="AG262" s="43" t="n">
        <v>0</v>
      </c>
      <c r="AH262" s="43" t="n">
        <v>0</v>
      </c>
      <c r="AI262" s="43" t="n">
        <v>0</v>
      </c>
      <c r="AJ262" s="44"/>
      <c r="AK262" s="43" t="n">
        <v>0</v>
      </c>
      <c r="AL262" s="43" t="n">
        <v>0</v>
      </c>
      <c r="AM262" s="45"/>
      <c r="AN262" s="45"/>
      <c r="AO262" s="45"/>
      <c r="AP262" s="46"/>
      <c r="AQ262" s="46"/>
    </row>
    <row r="263" customFormat="false" ht="14.25" hidden="false" customHeight="false" outlineLevel="0" collapsed="false">
      <c r="A263" s="51" t="s">
        <v>428</v>
      </c>
      <c r="B263" s="51" t="n">
        <v>46235</v>
      </c>
      <c r="C263" s="34" t="s">
        <v>176</v>
      </c>
      <c r="D263" s="35" t="s">
        <v>186</v>
      </c>
      <c r="E263" s="35" t="s">
        <v>31</v>
      </c>
      <c r="F263" s="48" t="s">
        <v>406</v>
      </c>
      <c r="G263" s="37" t="s">
        <v>214</v>
      </c>
      <c r="H263" s="35" t="s">
        <v>31</v>
      </c>
      <c r="I263" s="35" t="s">
        <v>112</v>
      </c>
      <c r="J263" s="55" t="n">
        <v>22</v>
      </c>
      <c r="K263" s="47" t="n">
        <v>1</v>
      </c>
      <c r="L263" s="47" t="n">
        <v>1</v>
      </c>
      <c r="M263" s="47" t="n">
        <v>1</v>
      </c>
      <c r="N263" s="47" t="n">
        <v>1</v>
      </c>
      <c r="O263" s="40"/>
      <c r="P263" s="41"/>
      <c r="Q263" s="44" t="n">
        <v>3</v>
      </c>
      <c r="R263" s="44"/>
      <c r="S263" s="44" t="n">
        <v>3</v>
      </c>
      <c r="T263" s="44" t="n">
        <v>2</v>
      </c>
      <c r="U263" s="43" t="n">
        <v>0</v>
      </c>
      <c r="V263" s="43" t="n">
        <v>0</v>
      </c>
      <c r="W263" s="44" t="n">
        <v>0</v>
      </c>
      <c r="X263" s="44" t="n">
        <v>0</v>
      </c>
      <c r="Y263" s="43" t="n">
        <v>0</v>
      </c>
      <c r="Z263" s="43" t="n">
        <v>1</v>
      </c>
      <c r="AA263" s="44" t="n">
        <v>1</v>
      </c>
      <c r="AB263" s="44" t="n">
        <v>1</v>
      </c>
      <c r="AC263" s="43" t="n">
        <v>0</v>
      </c>
      <c r="AD263" s="43" t="n">
        <v>0</v>
      </c>
      <c r="AE263" s="44" t="n">
        <v>0</v>
      </c>
      <c r="AF263" s="44" t="n">
        <v>0</v>
      </c>
      <c r="AG263" s="43" t="n">
        <v>0</v>
      </c>
      <c r="AH263" s="43" t="n">
        <v>0</v>
      </c>
      <c r="AI263" s="43" t="n">
        <v>0</v>
      </c>
      <c r="AJ263" s="44"/>
      <c r="AK263" s="43" t="n">
        <v>0</v>
      </c>
      <c r="AL263" s="43" t="n">
        <v>3</v>
      </c>
      <c r="AM263" s="45"/>
      <c r="AN263" s="45"/>
      <c r="AO263" s="45"/>
      <c r="AP263" s="46"/>
      <c r="AQ263" s="46"/>
    </row>
    <row r="264" customFormat="false" ht="14.25" hidden="false" customHeight="false" outlineLevel="0" collapsed="false">
      <c r="A264" s="51" t="s">
        <v>429</v>
      </c>
      <c r="B264" s="51" t="n">
        <v>46204</v>
      </c>
      <c r="C264" s="34" t="s">
        <v>190</v>
      </c>
      <c r="D264" s="35" t="s">
        <v>186</v>
      </c>
      <c r="E264" s="35" t="s">
        <v>31</v>
      </c>
      <c r="F264" s="48" t="s">
        <v>406</v>
      </c>
      <c r="G264" s="37" t="s">
        <v>214</v>
      </c>
      <c r="H264" s="35" t="s">
        <v>31</v>
      </c>
      <c r="I264" s="35" t="s">
        <v>112</v>
      </c>
      <c r="J264" s="55" t="n">
        <v>22</v>
      </c>
      <c r="K264" s="47" t="n">
        <v>1</v>
      </c>
      <c r="L264" s="47" t="n">
        <v>1</v>
      </c>
      <c r="M264" s="47" t="n">
        <v>1</v>
      </c>
      <c r="N264" s="47" t="n">
        <v>1</v>
      </c>
      <c r="O264" s="40"/>
      <c r="P264" s="41"/>
      <c r="Q264" s="44" t="n">
        <v>3</v>
      </c>
      <c r="R264" s="44"/>
      <c r="S264" s="44" t="n">
        <v>3</v>
      </c>
      <c r="T264" s="44" t="n">
        <v>2</v>
      </c>
      <c r="U264" s="43" t="n">
        <v>0</v>
      </c>
      <c r="V264" s="43" t="n">
        <v>0</v>
      </c>
      <c r="W264" s="44" t="n">
        <v>0</v>
      </c>
      <c r="X264" s="44" t="n">
        <v>0</v>
      </c>
      <c r="Y264" s="43" t="n">
        <v>0</v>
      </c>
      <c r="Z264" s="43" t="n">
        <v>0</v>
      </c>
      <c r="AA264" s="44" t="n">
        <v>0</v>
      </c>
      <c r="AB264" s="44" t="n">
        <v>0</v>
      </c>
      <c r="AC264" s="43" t="n">
        <v>0</v>
      </c>
      <c r="AD264" s="43" t="n">
        <v>0</v>
      </c>
      <c r="AE264" s="44" t="n">
        <v>0</v>
      </c>
      <c r="AF264" s="44" t="n">
        <v>0</v>
      </c>
      <c r="AG264" s="43" t="n">
        <v>0</v>
      </c>
      <c r="AH264" s="43" t="n">
        <v>0</v>
      </c>
      <c r="AI264" s="43" t="n">
        <v>0</v>
      </c>
      <c r="AJ264" s="44"/>
      <c r="AK264" s="43" t="n">
        <v>0</v>
      </c>
      <c r="AL264" s="43" t="n">
        <v>0</v>
      </c>
      <c r="AM264" s="45"/>
      <c r="AN264" s="45"/>
      <c r="AO264" s="45"/>
      <c r="AP264" s="46"/>
      <c r="AQ264" s="46"/>
    </row>
    <row r="265" customFormat="false" ht="14.25" hidden="false" customHeight="false" outlineLevel="0" collapsed="false">
      <c r="A265" s="53"/>
      <c r="B265" s="56"/>
      <c r="C265" s="56"/>
      <c r="D265" s="50"/>
      <c r="E265" s="50"/>
      <c r="F265" s="48"/>
      <c r="G265" s="53"/>
      <c r="H265" s="57"/>
      <c r="I265" s="50"/>
      <c r="J265" s="58"/>
      <c r="K265" s="59"/>
      <c r="L265" s="59"/>
      <c r="M265" s="59"/>
      <c r="N265" s="59"/>
      <c r="O265" s="55"/>
      <c r="P265" s="58"/>
      <c r="Q265" s="58"/>
      <c r="R265" s="58"/>
      <c r="S265" s="58"/>
      <c r="T265" s="58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  <c r="AL265" s="59"/>
      <c r="AM265" s="60"/>
      <c r="AN265" s="61"/>
      <c r="AO265" s="62"/>
      <c r="AP265" s="63"/>
      <c r="AQ265" s="64"/>
    </row>
    <row r="266" customFormat="false" ht="14.25" hidden="false" customHeight="false" outlineLevel="0" collapsed="false">
      <c r="A266" s="53"/>
      <c r="B266" s="56"/>
      <c r="C266" s="56"/>
      <c r="D266" s="50"/>
      <c r="E266" s="50"/>
      <c r="F266" s="48"/>
      <c r="G266" s="53"/>
      <c r="H266" s="57"/>
      <c r="I266" s="50"/>
      <c r="J266" s="58"/>
      <c r="K266" s="59"/>
      <c r="L266" s="59"/>
      <c r="M266" s="59"/>
      <c r="N266" s="59"/>
      <c r="O266" s="55"/>
      <c r="P266" s="58"/>
      <c r="Q266" s="58"/>
      <c r="R266" s="58"/>
      <c r="S266" s="58"/>
      <c r="T266" s="58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  <c r="AL266" s="59"/>
      <c r="AM266" s="60"/>
      <c r="AN266" s="61"/>
      <c r="AO266" s="62"/>
      <c r="AP266" s="63"/>
      <c r="AQ266" s="64"/>
    </row>
  </sheetData>
  <conditionalFormatting sqref="A259:A264">
    <cfRule type="duplicateValues" priority="2" aboveAverage="0" equalAverage="0" bottom="0" percent="0" rank="0" text="" dxfId="10"/>
    <cfRule type="duplicateValues" priority="3" aboveAverage="0" equalAverage="0" bottom="0" percent="0" rank="0" text="" dxfId="10"/>
  </conditionalFormatting>
  <conditionalFormatting sqref="AQ2:AQ264">
    <cfRule type="cellIs" priority="4" operator="lessThan" aboveAverage="0" equalAverage="0" bottom="0" percent="0" rank="0" text="" dxfId="10">
      <formula>1200</formula>
    </cfRule>
  </conditionalFormatting>
  <conditionalFormatting sqref="A247">
    <cfRule type="duplicateValues" priority="5" aboveAverage="0" equalAverage="0" bottom="0" percent="0" rank="0" text="" dxfId="10"/>
  </conditionalFormatting>
  <conditionalFormatting sqref="A257:A258">
    <cfRule type="duplicateValues" priority="6" aboveAverage="0" equalAverage="0" bottom="0" percent="0" rank="0" text="" dxfId="10"/>
  </conditionalFormatting>
  <conditionalFormatting sqref="A237">
    <cfRule type="duplicateValues" priority="7" aboveAverage="0" equalAverage="0" bottom="0" percent="0" rank="0" text="" dxfId="10"/>
  </conditionalFormatting>
  <conditionalFormatting sqref="A238:A246 A248:A256">
    <cfRule type="duplicateValues" priority="8" aboveAverage="0" equalAverage="0" bottom="0" percent="0" rank="0" text="" dxfId="10"/>
  </conditionalFormatting>
  <conditionalFormatting sqref="A237:A258">
    <cfRule type="duplicateValues" priority="9" aboveAverage="0" equalAverage="0" bottom="0" percent="0" rank="0" text="" dxfId="10"/>
  </conditionalFormatting>
  <conditionalFormatting sqref="A1:A225 A234:A236">
    <cfRule type="duplicateValues" priority="10" aboveAverage="0" equalAverage="0" bottom="0" percent="0" rank="0" text="" dxfId="10"/>
  </conditionalFormatting>
  <conditionalFormatting sqref="A200">
    <cfRule type="duplicateValues" priority="11" aboveAverage="0" equalAverage="0" bottom="0" percent="0" rank="0" text="" dxfId="10"/>
  </conditionalFormatting>
  <conditionalFormatting sqref="A234:A235">
    <cfRule type="duplicateValues" priority="12" aboveAverage="0" equalAverage="0" bottom="0" percent="0" rank="0" text="" dxfId="10"/>
  </conditionalFormatting>
  <conditionalFormatting sqref="J2:J236">
    <cfRule type="cellIs" priority="13" operator="lessThan" aboveAverage="0" equalAverage="0" bottom="0" percent="0" rank="0" text="" dxfId="10">
      <formula>5.5</formula>
    </cfRule>
  </conditionalFormatting>
  <conditionalFormatting sqref="A96:A114 A205">
    <cfRule type="duplicateValues" priority="14" aboveAverage="0" equalAverage="0" bottom="0" percent="0" rank="0" text="" dxfId="10"/>
  </conditionalFormatting>
  <conditionalFormatting sqref="A138 A218:A223">
    <cfRule type="duplicateValues" priority="15" aboveAverage="0" equalAverage="0" bottom="0" percent="0" rank="0" text="" dxfId="10"/>
  </conditionalFormatting>
  <conditionalFormatting sqref="A139:A142 A236">
    <cfRule type="duplicateValues" priority="16" aboveAverage="0" equalAverage="0" bottom="0" percent="0" rank="0" text="" dxfId="10"/>
  </conditionalFormatting>
  <conditionalFormatting sqref="A2:A137 A198:A199 A201:A217 A224:A225">
    <cfRule type="duplicateValues" priority="17" aboveAverage="0" equalAverage="0" bottom="0" percent="0" rank="0" text="" dxfId="10"/>
  </conditionalFormatting>
  <conditionalFormatting sqref="A226:A233">
    <cfRule type="duplicateValues" priority="18" aboveAverage="0" equalAverage="0" bottom="0" percent="0" rank="0" text="" dxfId="1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0.5390625" defaultRowHeight="14.25" zeroHeight="false" outlineLevelRow="0" outlineLevelCol="0"/>
  <sheetData>
    <row r="2" customFormat="false" ht="28.5" hidden="false" customHeight="true" outlineLevel="0" collapsed="false">
      <c r="B2" s="65" t="s">
        <v>430</v>
      </c>
      <c r="C2" s="65" t="s">
        <v>431</v>
      </c>
      <c r="D2" s="65" t="s">
        <v>432</v>
      </c>
    </row>
    <row r="3" customFormat="false" ht="14.25" hidden="false" customHeight="false" outlineLevel="0" collapsed="false">
      <c r="B3" s="66" t="s">
        <v>433</v>
      </c>
      <c r="C3" s="67" t="n">
        <v>0.8</v>
      </c>
      <c r="D3" s="67" t="n">
        <v>0.3</v>
      </c>
    </row>
    <row r="4" customFormat="false" ht="14.25" hidden="false" customHeight="false" outlineLevel="0" collapsed="false">
      <c r="B4" s="66" t="s">
        <v>434</v>
      </c>
      <c r="C4" s="67" t="n">
        <v>0.9</v>
      </c>
      <c r="D4" s="67" t="n">
        <v>0.9</v>
      </c>
    </row>
    <row r="5" customFormat="false" ht="14.25" hidden="false" customHeight="false" outlineLevel="0" collapsed="false">
      <c r="B5" s="66" t="s">
        <v>435</v>
      </c>
      <c r="C5" s="67" t="n">
        <v>1</v>
      </c>
      <c r="D5" s="67" t="n">
        <v>1</v>
      </c>
    </row>
    <row r="6" customFormat="false" ht="14.25" hidden="false" customHeight="false" outlineLevel="0" collapsed="false">
      <c r="B6" s="66" t="s">
        <v>436</v>
      </c>
      <c r="C6" s="67" t="n">
        <v>1.1</v>
      </c>
      <c r="D6" s="67" t="n">
        <v>1.3</v>
      </c>
    </row>
    <row r="7" customFormat="false" ht="14.25" hidden="false" customHeight="false" outlineLevel="0" collapsed="false">
      <c r="B7" s="66" t="s">
        <v>437</v>
      </c>
      <c r="C7" s="67" t="n">
        <v>1.2</v>
      </c>
      <c r="D7" s="67" t="n">
        <v>1.5</v>
      </c>
    </row>
    <row r="8" customFormat="false" ht="14.25" hidden="false" customHeight="false" outlineLevel="0" collapsed="false">
      <c r="B8" s="66" t="s">
        <v>438</v>
      </c>
      <c r="C8" s="67" t="n">
        <v>1.3</v>
      </c>
      <c r="D8" s="67" t="n">
        <v>2</v>
      </c>
    </row>
    <row r="9" customFormat="false" ht="14.25" hidden="false" customHeight="false" outlineLevel="0" collapsed="false">
      <c r="B9" s="66" t="s">
        <v>439</v>
      </c>
      <c r="C9" s="67"/>
      <c r="D9" s="6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2026-09-24T16:44:25Z</dcterms:created>
  <dc:creator>Elizabeth Rosa Banda Yanqui</dc:creator>
  <dc:description/>
  <dc:language>en-US</dc:language>
  <cp:lastModifiedBy>Elizabeth Rosa Banda Yanqui</cp:lastModifiedBy>
  <dcterms:modified xsi:type="dcterms:W3CDTF">2026-09-24T17:48:57Z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